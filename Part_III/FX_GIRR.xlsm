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550" yWindow="60" windowWidth="21450" windowHeight="7270" activeTab="7"/>
  </bookViews>
  <sheets>
    <sheet name="TBondCurve" sheetId="1" r:id="rId1"/>
    <sheet name="SwapCurve" sheetId="2" r:id="rId2"/>
    <sheet name="FXImpCurve" sheetId="3" r:id="rId3"/>
    <sheet name="Correlation" sheetId="6" r:id="rId4"/>
    <sheet name="DeltaCap" sheetId="4" r:id="rId5"/>
    <sheet name="ALL_Delta" sheetId="7" r:id="rId6"/>
    <sheet name="CurvatureCap" sheetId="5" r:id="rId7"/>
    <sheet name="ALL_Curvature" sheetId="8" r:id="rId8"/>
  </sheets>
  <functionGroups/>
  <definedNames>
    <definedName name="cross">Correlation!$C$17</definedName>
    <definedName name="theta">Correlation!$C$1</definedName>
  </definedNames>
  <calcPr calcId="124519"/>
</workbook>
</file>

<file path=xl/calcChain.xml><?xml version="1.0" encoding="utf-8"?>
<calcChain xmlns="http://schemas.openxmlformats.org/spreadsheetml/2006/main">
  <c r="N7" i="8"/>
  <c r="N6"/>
  <c r="N5"/>
  <c r="N4"/>
  <c r="I12"/>
  <c r="H13"/>
  <c r="H16" s="1"/>
  <c r="H17" s="1" a="1"/>
  <c r="H34"/>
  <c r="I54"/>
  <c r="H55"/>
  <c r="D46"/>
  <c r="C46"/>
  <c r="C47" s="1"/>
  <c r="G45" s="1"/>
  <c r="J46" s="1"/>
  <c r="I33"/>
  <c r="D25"/>
  <c r="C25"/>
  <c r="C26"/>
  <c r="G24" s="1"/>
  <c r="C5"/>
  <c r="C4"/>
  <c r="F3" s="1"/>
  <c r="F57"/>
  <c r="F45"/>
  <c r="F36"/>
  <c r="F24"/>
  <c r="J24" s="1"/>
  <c r="I16"/>
  <c r="I15"/>
  <c r="H15"/>
  <c r="J4"/>
  <c r="G3"/>
  <c r="J16"/>
  <c r="J15"/>
  <c r="G15"/>
  <c r="F15"/>
  <c r="D4"/>
  <c r="D5" s="1"/>
  <c r="H22" i="5"/>
  <c r="H21"/>
  <c r="G22"/>
  <c r="G21"/>
  <c r="H20"/>
  <c r="G20"/>
  <c r="F22"/>
  <c r="F21"/>
  <c r="W8"/>
  <c r="X8"/>
  <c r="Y8"/>
  <c r="Z8"/>
  <c r="AA8"/>
  <c r="AB8"/>
  <c r="AC8"/>
  <c r="AD8"/>
  <c r="AE8"/>
  <c r="V8"/>
  <c r="AE3"/>
  <c r="W3"/>
  <c r="X3"/>
  <c r="Y3"/>
  <c r="Z3"/>
  <c r="AA3"/>
  <c r="AB3"/>
  <c r="AC3"/>
  <c r="AD3"/>
  <c r="V3"/>
  <c r="C1"/>
  <c r="D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AL1" s="1"/>
  <c r="AM1" s="1"/>
  <c r="AN1" s="1"/>
  <c r="AO1" s="1"/>
  <c r="AP1" s="1"/>
  <c r="AQ1" s="1"/>
  <c r="AR1" s="1"/>
  <c r="AS1" s="1"/>
  <c r="AT1" s="1"/>
  <c r="AU1" s="1"/>
  <c r="AV1" s="1"/>
  <c r="AW1" s="1"/>
  <c r="AX1" s="1"/>
  <c r="AY1" s="1"/>
  <c r="AZ1" s="1"/>
  <c r="BA1" s="1"/>
  <c r="BB1" s="1"/>
  <c r="BC1" s="1"/>
  <c r="BD1" s="1"/>
  <c r="BE1" s="1"/>
  <c r="BF1" s="1"/>
  <c r="BG1" s="1"/>
  <c r="BH1" s="1"/>
  <c r="BI1" s="1"/>
  <c r="BJ1" s="1"/>
  <c r="B1"/>
  <c r="N7" i="7"/>
  <c r="N6"/>
  <c r="N5"/>
  <c r="N4"/>
  <c r="H41"/>
  <c r="H25"/>
  <c r="I24" s="1"/>
  <c r="C36"/>
  <c r="F35" s="1"/>
  <c r="C20"/>
  <c r="C21"/>
  <c r="G19" s="1"/>
  <c r="J20" s="1"/>
  <c r="I40"/>
  <c r="F40"/>
  <c r="J40" s="1"/>
  <c r="D37"/>
  <c r="G40" s="1"/>
  <c r="J41" s="1"/>
  <c r="B37"/>
  <c r="D36"/>
  <c r="B36"/>
  <c r="D35"/>
  <c r="C35"/>
  <c r="J25"/>
  <c r="G24"/>
  <c r="F24"/>
  <c r="J24" s="1"/>
  <c r="F19"/>
  <c r="J19" s="1"/>
  <c r="D21"/>
  <c r="D20"/>
  <c r="B21"/>
  <c r="B20"/>
  <c r="D19"/>
  <c r="C19"/>
  <c r="K15"/>
  <c r="K14"/>
  <c r="J12"/>
  <c r="J10" a="1"/>
  <c r="J10" s="1"/>
  <c r="H10" a="1"/>
  <c r="I10" s="1"/>
  <c r="J9"/>
  <c r="J8"/>
  <c r="G8"/>
  <c r="F8"/>
  <c r="I8"/>
  <c r="H9"/>
  <c r="J5" a="1"/>
  <c r="J5" s="1"/>
  <c r="H5" a="1"/>
  <c r="H5" s="1"/>
  <c r="J4"/>
  <c r="J3"/>
  <c r="G3"/>
  <c r="F3"/>
  <c r="D5"/>
  <c r="D4"/>
  <c r="P8" i="6"/>
  <c r="P7"/>
  <c r="P6"/>
  <c r="P5"/>
  <c r="C5" i="7"/>
  <c r="AZ2" i="3"/>
  <c r="N2" i="1"/>
  <c r="N2" i="2"/>
  <c r="N2" i="3"/>
  <c r="C4" i="7"/>
  <c r="W3" i="4"/>
  <c r="X3"/>
  <c r="Y3"/>
  <c r="Z3"/>
  <c r="AA3"/>
  <c r="AB3"/>
  <c r="AC3"/>
  <c r="AD3"/>
  <c r="AE3"/>
  <c r="BL32" s="1"/>
  <c r="V3"/>
  <c r="BL29"/>
  <c r="BO2" i="3"/>
  <c r="BP2"/>
  <c r="BQ2"/>
  <c r="BR2"/>
  <c r="BS2"/>
  <c r="BT2"/>
  <c r="BU2"/>
  <c r="BV2"/>
  <c r="BW2"/>
  <c r="BN2"/>
  <c r="BC2"/>
  <c r="BD2"/>
  <c r="BE2"/>
  <c r="BF2"/>
  <c r="BG2"/>
  <c r="BH2"/>
  <c r="BI2"/>
  <c r="BJ2"/>
  <c r="BK2"/>
  <c r="BB2"/>
  <c r="AQ2"/>
  <c r="AR2"/>
  <c r="AS2"/>
  <c r="AT2"/>
  <c r="AU2"/>
  <c r="AV2"/>
  <c r="AW2"/>
  <c r="AX2"/>
  <c r="AY2"/>
  <c r="AP2"/>
  <c r="AC2"/>
  <c r="AD2"/>
  <c r="AE2"/>
  <c r="AF2"/>
  <c r="AG2"/>
  <c r="AH2"/>
  <c r="AI2"/>
  <c r="AJ2"/>
  <c r="AK2"/>
  <c r="AB2"/>
  <c r="Q2"/>
  <c r="R2"/>
  <c r="S2"/>
  <c r="T2"/>
  <c r="U2"/>
  <c r="V2"/>
  <c r="W2"/>
  <c r="X2"/>
  <c r="Y2"/>
  <c r="P2"/>
  <c r="E2"/>
  <c r="BL24" i="4" s="1"/>
  <c r="F2" i="3"/>
  <c r="BL25" i="4" s="1"/>
  <c r="G2" i="3"/>
  <c r="H2"/>
  <c r="I2"/>
  <c r="J2"/>
  <c r="K2"/>
  <c r="BL30" i="4" s="1"/>
  <c r="L2" i="3"/>
  <c r="BL31" i="4" s="1"/>
  <c r="M2" i="3"/>
  <c r="D2"/>
  <c r="BL23" i="4" s="1"/>
  <c r="I9" i="8"/>
  <c r="I8"/>
  <c r="H9"/>
  <c r="H8"/>
  <c r="H17" l="1"/>
  <c r="J17" s="1"/>
  <c r="I17"/>
  <c r="H47" a="1"/>
  <c r="H47" s="1"/>
  <c r="J25"/>
  <c r="J26" s="1"/>
  <c r="H26" a="1"/>
  <c r="H26" s="1"/>
  <c r="J3"/>
  <c r="H5" a="1"/>
  <c r="I5" s="1"/>
  <c r="J57"/>
  <c r="J45"/>
  <c r="D47"/>
  <c r="G57" s="1"/>
  <c r="J58" s="1"/>
  <c r="J36"/>
  <c r="I26"/>
  <c r="D26"/>
  <c r="G36" s="1"/>
  <c r="J37" s="1"/>
  <c r="C37" i="7"/>
  <c r="G35" s="1"/>
  <c r="J36" s="1"/>
  <c r="H21" a="1"/>
  <c r="H21" s="1"/>
  <c r="H42" a="1"/>
  <c r="J35"/>
  <c r="I21"/>
  <c r="H26" a="1"/>
  <c r="H10"/>
  <c r="I5"/>
  <c r="BL26" i="4"/>
  <c r="BL96" s="1"/>
  <c r="BL27"/>
  <c r="BL28"/>
  <c r="BL98" s="1"/>
  <c r="F20" i="5"/>
  <c r="E2" i="2"/>
  <c r="F2"/>
  <c r="G2"/>
  <c r="H2"/>
  <c r="I2"/>
  <c r="J2"/>
  <c r="K2"/>
  <c r="L2"/>
  <c r="M2"/>
  <c r="P2"/>
  <c r="Q2"/>
  <c r="R2"/>
  <c r="S2"/>
  <c r="T2"/>
  <c r="U2"/>
  <c r="V2"/>
  <c r="W2"/>
  <c r="X2"/>
  <c r="Y2"/>
  <c r="AB2"/>
  <c r="AC2"/>
  <c r="AD2"/>
  <c r="AE2"/>
  <c r="AF2"/>
  <c r="AG2"/>
  <c r="AH2"/>
  <c r="AI2"/>
  <c r="AJ2"/>
  <c r="AK2"/>
  <c r="D2"/>
  <c r="E2" i="1"/>
  <c r="F2"/>
  <c r="G2"/>
  <c r="H2"/>
  <c r="I2"/>
  <c r="J2"/>
  <c r="K2"/>
  <c r="L2"/>
  <c r="M2"/>
  <c r="P2"/>
  <c r="Q2"/>
  <c r="R2"/>
  <c r="S2"/>
  <c r="T2"/>
  <c r="U2"/>
  <c r="V2"/>
  <c r="W2"/>
  <c r="X2"/>
  <c r="Y2"/>
  <c r="AB2"/>
  <c r="AC2"/>
  <c r="AD2"/>
  <c r="AE2"/>
  <c r="AF2"/>
  <c r="AG2"/>
  <c r="AH2"/>
  <c r="AI2"/>
  <c r="AJ2"/>
  <c r="AK2"/>
  <c r="D2"/>
  <c r="E21" i="5"/>
  <c r="E22"/>
  <c r="E20"/>
  <c r="BL74" i="4"/>
  <c r="BL75"/>
  <c r="BL76"/>
  <c r="BL77"/>
  <c r="BL78"/>
  <c r="BL79"/>
  <c r="BL80"/>
  <c r="BL81"/>
  <c r="BL82"/>
  <c r="BL83"/>
  <c r="BL84"/>
  <c r="BL85"/>
  <c r="BL86"/>
  <c r="BL87"/>
  <c r="BL88"/>
  <c r="BL89"/>
  <c r="BL90"/>
  <c r="BL91"/>
  <c r="BL92"/>
  <c r="BL93"/>
  <c r="BL94"/>
  <c r="BL95"/>
  <c r="BL97"/>
  <c r="BL99"/>
  <c r="BL100"/>
  <c r="BL101"/>
  <c r="BL102"/>
  <c r="BL73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AY73"/>
  <c r="AZ73"/>
  <c r="BA73"/>
  <c r="BB73"/>
  <c r="BC73"/>
  <c r="BD73"/>
  <c r="BE73"/>
  <c r="BF73"/>
  <c r="BG73"/>
  <c r="BH73"/>
  <c r="BI73"/>
  <c r="BJ73"/>
  <c r="AH74"/>
  <c r="AI74"/>
  <c r="AJ74"/>
  <c r="AK74"/>
  <c r="AL74"/>
  <c r="AM74"/>
  <c r="AN74"/>
  <c r="AO74"/>
  <c r="AP74"/>
  <c r="AQ74"/>
  <c r="AR74"/>
  <c r="AS74"/>
  <c r="AT74"/>
  <c r="AU74"/>
  <c r="AV74"/>
  <c r="AW74"/>
  <c r="AX74"/>
  <c r="AY74"/>
  <c r="AZ74"/>
  <c r="BA74"/>
  <c r="BB74"/>
  <c r="BC74"/>
  <c r="BD74"/>
  <c r="BE74"/>
  <c r="BF74"/>
  <c r="BG74"/>
  <c r="BH74"/>
  <c r="BI74"/>
  <c r="BJ74"/>
  <c r="AH75"/>
  <c r="AI75"/>
  <c r="AJ75"/>
  <c r="AK75"/>
  <c r="AL75"/>
  <c r="AM75"/>
  <c r="AN75"/>
  <c r="AO75"/>
  <c r="AP75"/>
  <c r="AQ75"/>
  <c r="AR75"/>
  <c r="AS75"/>
  <c r="AT75"/>
  <c r="AU75"/>
  <c r="AV75"/>
  <c r="AW75"/>
  <c r="AX75"/>
  <c r="AY75"/>
  <c r="AZ75"/>
  <c r="BA75"/>
  <c r="BB75"/>
  <c r="BC75"/>
  <c r="BD75"/>
  <c r="BE75"/>
  <c r="BF75"/>
  <c r="BG75"/>
  <c r="BH75"/>
  <c r="BI75"/>
  <c r="BJ75"/>
  <c r="AH76"/>
  <c r="AI76"/>
  <c r="AJ76"/>
  <c r="AK76"/>
  <c r="AL76"/>
  <c r="AM76"/>
  <c r="AN76"/>
  <c r="AO76"/>
  <c r="AP76"/>
  <c r="AQ76"/>
  <c r="AR76"/>
  <c r="AS76"/>
  <c r="AT76"/>
  <c r="AU76"/>
  <c r="AV76"/>
  <c r="AW76"/>
  <c r="AX76"/>
  <c r="AY76"/>
  <c r="AZ76"/>
  <c r="BA76"/>
  <c r="BB76"/>
  <c r="BC76"/>
  <c r="BD76"/>
  <c r="BE76"/>
  <c r="BF76"/>
  <c r="BG76"/>
  <c r="BH76"/>
  <c r="BI76"/>
  <c r="BJ76"/>
  <c r="AH77"/>
  <c r="AI77"/>
  <c r="AJ77"/>
  <c r="AK77"/>
  <c r="AL77"/>
  <c r="AM77"/>
  <c r="AN77"/>
  <c r="AO77"/>
  <c r="AP77"/>
  <c r="AQ77"/>
  <c r="AR77"/>
  <c r="AS77"/>
  <c r="AT77"/>
  <c r="AU77"/>
  <c r="AV77"/>
  <c r="AW77"/>
  <c r="AX77"/>
  <c r="AY77"/>
  <c r="AZ77"/>
  <c r="BA77"/>
  <c r="BB77"/>
  <c r="BC77"/>
  <c r="BD77"/>
  <c r="BE77"/>
  <c r="BF77"/>
  <c r="BG77"/>
  <c r="BH77"/>
  <c r="BI77"/>
  <c r="BJ77"/>
  <c r="AH78"/>
  <c r="AI78"/>
  <c r="AJ78"/>
  <c r="AK78"/>
  <c r="AL78"/>
  <c r="AM78"/>
  <c r="AN78"/>
  <c r="AO78"/>
  <c r="AP78"/>
  <c r="AQ78"/>
  <c r="AR78"/>
  <c r="AS78"/>
  <c r="AT78"/>
  <c r="AU78"/>
  <c r="AV78"/>
  <c r="AW78"/>
  <c r="AX78"/>
  <c r="AY78"/>
  <c r="AZ78"/>
  <c r="BA78"/>
  <c r="BB78"/>
  <c r="BC78"/>
  <c r="BD78"/>
  <c r="BE78"/>
  <c r="BF78"/>
  <c r="BG78"/>
  <c r="BH78"/>
  <c r="BI78"/>
  <c r="BJ78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AH80"/>
  <c r="AI80"/>
  <c r="AJ80"/>
  <c r="AK80"/>
  <c r="AL80"/>
  <c r="AM80"/>
  <c r="AN80"/>
  <c r="AO80"/>
  <c r="AP80"/>
  <c r="AQ80"/>
  <c r="AR80"/>
  <c r="AS80"/>
  <c r="AT80"/>
  <c r="AU80"/>
  <c r="AV80"/>
  <c r="AW80"/>
  <c r="AX80"/>
  <c r="AY80"/>
  <c r="AZ80"/>
  <c r="BA80"/>
  <c r="BB80"/>
  <c r="BC80"/>
  <c r="BD80"/>
  <c r="BE80"/>
  <c r="BF80"/>
  <c r="BG80"/>
  <c r="BH80"/>
  <c r="BI80"/>
  <c r="BJ80"/>
  <c r="AH81"/>
  <c r="AI81"/>
  <c r="AJ81"/>
  <c r="AK81"/>
  <c r="AL81"/>
  <c r="AM81"/>
  <c r="AN81"/>
  <c r="AO81"/>
  <c r="AP81"/>
  <c r="AQ81"/>
  <c r="AR81"/>
  <c r="AS81"/>
  <c r="AT81"/>
  <c r="AU81"/>
  <c r="AV81"/>
  <c r="AW81"/>
  <c r="AX81"/>
  <c r="AY81"/>
  <c r="AZ81"/>
  <c r="BA81"/>
  <c r="BB81"/>
  <c r="BC81"/>
  <c r="BD81"/>
  <c r="BE81"/>
  <c r="BF81"/>
  <c r="BG81"/>
  <c r="BH81"/>
  <c r="BI81"/>
  <c r="BJ81"/>
  <c r="AH82"/>
  <c r="AI82"/>
  <c r="AJ82"/>
  <c r="AK82"/>
  <c r="AL82"/>
  <c r="AM82"/>
  <c r="AN82"/>
  <c r="AO82"/>
  <c r="AP82"/>
  <c r="AQ82"/>
  <c r="AR82"/>
  <c r="AS82"/>
  <c r="AT82"/>
  <c r="AU82"/>
  <c r="AV82"/>
  <c r="AW82"/>
  <c r="AX82"/>
  <c r="AY82"/>
  <c r="AZ82"/>
  <c r="BA82"/>
  <c r="BB82"/>
  <c r="BC82"/>
  <c r="BD82"/>
  <c r="BE82"/>
  <c r="BF82"/>
  <c r="BG82"/>
  <c r="BH82"/>
  <c r="BI82"/>
  <c r="BJ82"/>
  <c r="AH83"/>
  <c r="AI83"/>
  <c r="AJ83"/>
  <c r="AK83"/>
  <c r="AL83"/>
  <c r="AM83"/>
  <c r="AN83"/>
  <c r="AO83"/>
  <c r="AP83"/>
  <c r="AQ83"/>
  <c r="AR83"/>
  <c r="AS83"/>
  <c r="AT83"/>
  <c r="AU83"/>
  <c r="AV83"/>
  <c r="AW83"/>
  <c r="AX83"/>
  <c r="AY83"/>
  <c r="AZ83"/>
  <c r="BA83"/>
  <c r="BB83"/>
  <c r="BC83"/>
  <c r="BD83"/>
  <c r="BE83"/>
  <c r="BF83"/>
  <c r="BG83"/>
  <c r="BH83"/>
  <c r="BI83"/>
  <c r="BJ83"/>
  <c r="AH84"/>
  <c r="AI84"/>
  <c r="AJ84"/>
  <c r="AK84"/>
  <c r="AL84"/>
  <c r="AM84"/>
  <c r="AN84"/>
  <c r="AO84"/>
  <c r="AP84"/>
  <c r="AQ84"/>
  <c r="AR84"/>
  <c r="AS84"/>
  <c r="AT84"/>
  <c r="AU84"/>
  <c r="AV84"/>
  <c r="AW84"/>
  <c r="AX84"/>
  <c r="AY84"/>
  <c r="AZ84"/>
  <c r="BA84"/>
  <c r="BB84"/>
  <c r="BC84"/>
  <c r="BD84"/>
  <c r="BE84"/>
  <c r="BF84"/>
  <c r="BG84"/>
  <c r="BH84"/>
  <c r="BI84"/>
  <c r="BJ84"/>
  <c r="AH85"/>
  <c r="AI85"/>
  <c r="AJ85"/>
  <c r="AK85"/>
  <c r="AL85"/>
  <c r="AM85"/>
  <c r="AN85"/>
  <c r="AO85"/>
  <c r="AP85"/>
  <c r="AQ85"/>
  <c r="AR85"/>
  <c r="AS85"/>
  <c r="AT85"/>
  <c r="AU85"/>
  <c r="AV85"/>
  <c r="AW85"/>
  <c r="AX85"/>
  <c r="AY85"/>
  <c r="AZ85"/>
  <c r="BA85"/>
  <c r="BB85"/>
  <c r="BC85"/>
  <c r="BD85"/>
  <c r="BE85"/>
  <c r="BF85"/>
  <c r="BG85"/>
  <c r="BH85"/>
  <c r="BI85"/>
  <c r="BJ85"/>
  <c r="AH86"/>
  <c r="AI86"/>
  <c r="AJ86"/>
  <c r="AK86"/>
  <c r="AL86"/>
  <c r="AM86"/>
  <c r="AN86"/>
  <c r="AO86"/>
  <c r="AP86"/>
  <c r="AQ86"/>
  <c r="AR86"/>
  <c r="AS86"/>
  <c r="AT86"/>
  <c r="AU86"/>
  <c r="AV86"/>
  <c r="AW86"/>
  <c r="AX86"/>
  <c r="AY86"/>
  <c r="AZ86"/>
  <c r="BA86"/>
  <c r="BB86"/>
  <c r="BC86"/>
  <c r="BD86"/>
  <c r="BE86"/>
  <c r="BF86"/>
  <c r="BG86"/>
  <c r="BH86"/>
  <c r="BI86"/>
  <c r="BJ86"/>
  <c r="AH87"/>
  <c r="AI87"/>
  <c r="AJ87"/>
  <c r="AK87"/>
  <c r="AL87"/>
  <c r="AM87"/>
  <c r="AN87"/>
  <c r="AO87"/>
  <c r="AP87"/>
  <c r="AQ87"/>
  <c r="AR87"/>
  <c r="AS87"/>
  <c r="AT87"/>
  <c r="AU87"/>
  <c r="AV87"/>
  <c r="AW87"/>
  <c r="AX87"/>
  <c r="AY87"/>
  <c r="AZ87"/>
  <c r="BA87"/>
  <c r="BB87"/>
  <c r="BC87"/>
  <c r="BD87"/>
  <c r="BE87"/>
  <c r="BF87"/>
  <c r="BG87"/>
  <c r="BH87"/>
  <c r="BI87"/>
  <c r="BJ87"/>
  <c r="AH88"/>
  <c r="AI88"/>
  <c r="AJ88"/>
  <c r="AK88"/>
  <c r="AL88"/>
  <c r="AM88"/>
  <c r="AN88"/>
  <c r="AO88"/>
  <c r="AP88"/>
  <c r="AQ88"/>
  <c r="AR88"/>
  <c r="AS88"/>
  <c r="AT88"/>
  <c r="AU88"/>
  <c r="AV88"/>
  <c r="AW88"/>
  <c r="AX88"/>
  <c r="AY88"/>
  <c r="AZ88"/>
  <c r="BA88"/>
  <c r="BB88"/>
  <c r="BC88"/>
  <c r="BD88"/>
  <c r="BE88"/>
  <c r="BF88"/>
  <c r="BG88"/>
  <c r="BH88"/>
  <c r="BI88"/>
  <c r="BJ88"/>
  <c r="AH89"/>
  <c r="AI89"/>
  <c r="AJ89"/>
  <c r="AK89"/>
  <c r="AL89"/>
  <c r="AM89"/>
  <c r="AN89"/>
  <c r="AO89"/>
  <c r="AP89"/>
  <c r="AQ89"/>
  <c r="AR89"/>
  <c r="AS89"/>
  <c r="AT89"/>
  <c r="AU89"/>
  <c r="AV89"/>
  <c r="AW89"/>
  <c r="AX89"/>
  <c r="AY89"/>
  <c r="AZ89"/>
  <c r="BA89"/>
  <c r="BB89"/>
  <c r="BC89"/>
  <c r="BD89"/>
  <c r="BE89"/>
  <c r="BF89"/>
  <c r="BG89"/>
  <c r="BH89"/>
  <c r="BI89"/>
  <c r="BJ89"/>
  <c r="AH90"/>
  <c r="AI90"/>
  <c r="AJ90"/>
  <c r="AK90"/>
  <c r="AL90"/>
  <c r="AM90"/>
  <c r="AN90"/>
  <c r="AO90"/>
  <c r="AP90"/>
  <c r="AQ90"/>
  <c r="AR90"/>
  <c r="AS90"/>
  <c r="AT90"/>
  <c r="AU90"/>
  <c r="AV90"/>
  <c r="AW90"/>
  <c r="AX90"/>
  <c r="AY90"/>
  <c r="AZ90"/>
  <c r="BA90"/>
  <c r="BB90"/>
  <c r="BC90"/>
  <c r="BD90"/>
  <c r="BE90"/>
  <c r="BF90"/>
  <c r="BG90"/>
  <c r="BH90"/>
  <c r="BI90"/>
  <c r="BJ90"/>
  <c r="AH91"/>
  <c r="AI91"/>
  <c r="AJ91"/>
  <c r="AK91"/>
  <c r="AL91"/>
  <c r="AM91"/>
  <c r="AN91"/>
  <c r="AO91"/>
  <c r="AP91"/>
  <c r="AQ91"/>
  <c r="AR91"/>
  <c r="AS91"/>
  <c r="AT91"/>
  <c r="AU91"/>
  <c r="AV91"/>
  <c r="AW91"/>
  <c r="AX91"/>
  <c r="AY91"/>
  <c r="AZ91"/>
  <c r="BA91"/>
  <c r="BB91"/>
  <c r="BC91"/>
  <c r="BD91"/>
  <c r="BE91"/>
  <c r="BF91"/>
  <c r="BG91"/>
  <c r="BH91"/>
  <c r="BI91"/>
  <c r="BJ91"/>
  <c r="AH92"/>
  <c r="AI92"/>
  <c r="AJ92"/>
  <c r="AK92"/>
  <c r="AL92"/>
  <c r="AM92"/>
  <c r="AN92"/>
  <c r="AO92"/>
  <c r="AP92"/>
  <c r="AQ92"/>
  <c r="AR92"/>
  <c r="AS92"/>
  <c r="AT92"/>
  <c r="AU92"/>
  <c r="AV92"/>
  <c r="AW92"/>
  <c r="AX92"/>
  <c r="AY92"/>
  <c r="AZ92"/>
  <c r="BA92"/>
  <c r="BB92"/>
  <c r="BC92"/>
  <c r="BD92"/>
  <c r="BE92"/>
  <c r="BF92"/>
  <c r="BG92"/>
  <c r="BH92"/>
  <c r="BI92"/>
  <c r="BJ92"/>
  <c r="AH93"/>
  <c r="AI93"/>
  <c r="AJ93"/>
  <c r="AK93"/>
  <c r="AL93"/>
  <c r="AM93"/>
  <c r="AN93"/>
  <c r="AO93"/>
  <c r="AP93"/>
  <c r="AQ93"/>
  <c r="AR93"/>
  <c r="AS93"/>
  <c r="AT93"/>
  <c r="AU93"/>
  <c r="AV93"/>
  <c r="AW93"/>
  <c r="AX93"/>
  <c r="AY93"/>
  <c r="AZ93"/>
  <c r="BA93"/>
  <c r="BB93"/>
  <c r="BC93"/>
  <c r="BD93"/>
  <c r="BE93"/>
  <c r="BF93"/>
  <c r="BG93"/>
  <c r="BH93"/>
  <c r="BI93"/>
  <c r="BJ93"/>
  <c r="AH94"/>
  <c r="AI94"/>
  <c r="AJ94"/>
  <c r="AK94"/>
  <c r="AL94"/>
  <c r="AM94"/>
  <c r="AN94"/>
  <c r="AO94"/>
  <c r="AP94"/>
  <c r="AQ94"/>
  <c r="AR94"/>
  <c r="AS94"/>
  <c r="AT94"/>
  <c r="AU94"/>
  <c r="AV94"/>
  <c r="AW94"/>
  <c r="AX94"/>
  <c r="AY94"/>
  <c r="AZ94"/>
  <c r="BA94"/>
  <c r="BB94"/>
  <c r="BC94"/>
  <c r="BD94"/>
  <c r="BE94"/>
  <c r="BF94"/>
  <c r="BG94"/>
  <c r="BH94"/>
  <c r="BI94"/>
  <c r="BJ94"/>
  <c r="AH95"/>
  <c r="AI95"/>
  <c r="AJ95"/>
  <c r="AK95"/>
  <c r="AL95"/>
  <c r="AM95"/>
  <c r="AN95"/>
  <c r="AO95"/>
  <c r="AP95"/>
  <c r="AQ95"/>
  <c r="AR95"/>
  <c r="AS95"/>
  <c r="AT95"/>
  <c r="AU95"/>
  <c r="AV95"/>
  <c r="AW95"/>
  <c r="AX95"/>
  <c r="AY95"/>
  <c r="AZ95"/>
  <c r="BA95"/>
  <c r="BB95"/>
  <c r="BC95"/>
  <c r="BD95"/>
  <c r="BE95"/>
  <c r="BF95"/>
  <c r="BG95"/>
  <c r="BH95"/>
  <c r="BI95"/>
  <c r="BJ95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AY96"/>
  <c r="AZ96"/>
  <c r="BA96"/>
  <c r="BB96"/>
  <c r="BC96"/>
  <c r="BD96"/>
  <c r="BE96"/>
  <c r="BF96"/>
  <c r="BG96"/>
  <c r="BH96"/>
  <c r="BI96"/>
  <c r="BJ96"/>
  <c r="AH97"/>
  <c r="AI97"/>
  <c r="AJ97"/>
  <c r="AK97"/>
  <c r="AL97"/>
  <c r="AM97"/>
  <c r="AN97"/>
  <c r="AO97"/>
  <c r="AP97"/>
  <c r="AQ97"/>
  <c r="AR97"/>
  <c r="AS97"/>
  <c r="AT97"/>
  <c r="AU97"/>
  <c r="AV97"/>
  <c r="AW97"/>
  <c r="AX97"/>
  <c r="AY97"/>
  <c r="AZ97"/>
  <c r="BA97"/>
  <c r="BB97"/>
  <c r="BC97"/>
  <c r="BD97"/>
  <c r="BE97"/>
  <c r="BF97"/>
  <c r="BG97"/>
  <c r="BH97"/>
  <c r="BI97"/>
  <c r="BJ97"/>
  <c r="AH98"/>
  <c r="AI98"/>
  <c r="AJ98"/>
  <c r="AK98"/>
  <c r="AL98"/>
  <c r="AM98"/>
  <c r="AN98"/>
  <c r="AO98"/>
  <c r="AP98"/>
  <c r="AQ98"/>
  <c r="AR98"/>
  <c r="AS98"/>
  <c r="AT98"/>
  <c r="AU98"/>
  <c r="AV98"/>
  <c r="AW98"/>
  <c r="AX98"/>
  <c r="AY98"/>
  <c r="AZ98"/>
  <c r="BA98"/>
  <c r="BB98"/>
  <c r="BC98"/>
  <c r="BD98"/>
  <c r="BE98"/>
  <c r="BF98"/>
  <c r="BG98"/>
  <c r="BH98"/>
  <c r="BI98"/>
  <c r="BJ98"/>
  <c r="AH99"/>
  <c r="AI99"/>
  <c r="AJ99"/>
  <c r="AK99"/>
  <c r="AL99"/>
  <c r="AM99"/>
  <c r="AN99"/>
  <c r="AO99"/>
  <c r="AP99"/>
  <c r="AQ99"/>
  <c r="AR99"/>
  <c r="AS99"/>
  <c r="AT99"/>
  <c r="AU99"/>
  <c r="AV99"/>
  <c r="AW99"/>
  <c r="AX99"/>
  <c r="AY99"/>
  <c r="AZ99"/>
  <c r="BA99"/>
  <c r="BB99"/>
  <c r="BC99"/>
  <c r="BD99"/>
  <c r="BE99"/>
  <c r="BF99"/>
  <c r="BG99"/>
  <c r="BH99"/>
  <c r="BI99"/>
  <c r="BJ99"/>
  <c r="AH100"/>
  <c r="AI100"/>
  <c r="AJ100"/>
  <c r="AK100"/>
  <c r="AL100"/>
  <c r="AM100"/>
  <c r="AN100"/>
  <c r="AO100"/>
  <c r="AP100"/>
  <c r="AQ100"/>
  <c r="AR100"/>
  <c r="AS100"/>
  <c r="AT100"/>
  <c r="AU100"/>
  <c r="AV100"/>
  <c r="AW100"/>
  <c r="AX100"/>
  <c r="AY100"/>
  <c r="AZ100"/>
  <c r="BA100"/>
  <c r="BB100"/>
  <c r="BC100"/>
  <c r="BD100"/>
  <c r="BE100"/>
  <c r="BF100"/>
  <c r="BG100"/>
  <c r="BH100"/>
  <c r="BI100"/>
  <c r="BJ100"/>
  <c r="AH101"/>
  <c r="AI101"/>
  <c r="AJ101"/>
  <c r="AK101"/>
  <c r="AL101"/>
  <c r="AM101"/>
  <c r="AN101"/>
  <c r="AO101"/>
  <c r="AP101"/>
  <c r="AQ101"/>
  <c r="AR101"/>
  <c r="AS101"/>
  <c r="AT101"/>
  <c r="AU101"/>
  <c r="AV101"/>
  <c r="AW101"/>
  <c r="AX101"/>
  <c r="AY101"/>
  <c r="AZ101"/>
  <c r="BA101"/>
  <c r="BB101"/>
  <c r="BC101"/>
  <c r="BD101"/>
  <c r="BE101"/>
  <c r="BF101"/>
  <c r="BG101"/>
  <c r="BH101"/>
  <c r="BI101"/>
  <c r="BJ101"/>
  <c r="AH102"/>
  <c r="AI102"/>
  <c r="AJ102"/>
  <c r="AK102"/>
  <c r="AL102"/>
  <c r="AM102"/>
  <c r="AN102"/>
  <c r="AO102"/>
  <c r="AP102"/>
  <c r="AQ102"/>
  <c r="AR102"/>
  <c r="AS102"/>
  <c r="AT102"/>
  <c r="AU102"/>
  <c r="AV102"/>
  <c r="AW102"/>
  <c r="AX102"/>
  <c r="AY102"/>
  <c r="AZ102"/>
  <c r="BA102"/>
  <c r="BB102"/>
  <c r="BC102"/>
  <c r="BD102"/>
  <c r="BE102"/>
  <c r="BF102"/>
  <c r="BG102"/>
  <c r="BH102"/>
  <c r="BI102"/>
  <c r="BJ102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73"/>
  <c r="C73"/>
  <c r="D73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B73"/>
  <c r="BL39"/>
  <c r="BL40"/>
  <c r="BL41"/>
  <c r="BL42"/>
  <c r="BL43"/>
  <c r="BL44"/>
  <c r="BL45"/>
  <c r="BL46"/>
  <c r="BL47"/>
  <c r="BL48"/>
  <c r="BL49"/>
  <c r="BL50"/>
  <c r="BL51"/>
  <c r="BL52"/>
  <c r="BL53"/>
  <c r="BL54"/>
  <c r="BL55"/>
  <c r="BL56"/>
  <c r="BL57"/>
  <c r="BL58"/>
  <c r="BL59"/>
  <c r="BL60"/>
  <c r="BL61"/>
  <c r="BL62"/>
  <c r="BL64"/>
  <c r="BL65"/>
  <c r="BL66"/>
  <c r="BL67"/>
  <c r="BL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AZ38"/>
  <c r="BA38"/>
  <c r="BB38"/>
  <c r="BC38"/>
  <c r="BD38"/>
  <c r="BE38"/>
  <c r="BF38"/>
  <c r="BG38"/>
  <c r="BH38"/>
  <c r="BI38"/>
  <c r="BJ38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AY47"/>
  <c r="AZ47"/>
  <c r="BA47"/>
  <c r="BB47"/>
  <c r="BC47"/>
  <c r="BD47"/>
  <c r="BE47"/>
  <c r="BF47"/>
  <c r="BG47"/>
  <c r="BH47"/>
  <c r="BI47"/>
  <c r="BJ47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AY48"/>
  <c r="AZ48"/>
  <c r="BA48"/>
  <c r="BB48"/>
  <c r="BC48"/>
  <c r="BD48"/>
  <c r="BE48"/>
  <c r="BF48"/>
  <c r="BG48"/>
  <c r="BH48"/>
  <c r="BI48"/>
  <c r="BJ48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AY49"/>
  <c r="AZ49"/>
  <c r="BA49"/>
  <c r="BB49"/>
  <c r="BC49"/>
  <c r="BD49"/>
  <c r="BE49"/>
  <c r="BF49"/>
  <c r="BG49"/>
  <c r="BH49"/>
  <c r="BI49"/>
  <c r="BJ49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BJ50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BJ51"/>
  <c r="AH52"/>
  <c r="AI52"/>
  <c r="AJ52"/>
  <c r="AK52"/>
  <c r="AL52"/>
  <c r="AM52"/>
  <c r="AN52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BJ52"/>
  <c r="AH53"/>
  <c r="AI53"/>
  <c r="AJ53"/>
  <c r="AK53"/>
  <c r="AL53"/>
  <c r="AM53"/>
  <c r="AN53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BJ53"/>
  <c r="AH54"/>
  <c r="AI54"/>
  <c r="AJ54"/>
  <c r="AK54"/>
  <c r="AL54"/>
  <c r="AM54"/>
  <c r="AN54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BJ54"/>
  <c r="AH55"/>
  <c r="AI55"/>
  <c r="AJ55"/>
  <c r="AK55"/>
  <c r="AL55"/>
  <c r="AM55"/>
  <c r="AN55"/>
  <c r="AO55"/>
  <c r="AP55"/>
  <c r="AQ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BJ55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AH57"/>
  <c r="AI57"/>
  <c r="AJ57"/>
  <c r="AK57"/>
  <c r="AL57"/>
  <c r="AM57"/>
  <c r="AN57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BJ57"/>
  <c r="AH58"/>
  <c r="AI58"/>
  <c r="AJ58"/>
  <c r="AK58"/>
  <c r="AL58"/>
  <c r="AM58"/>
  <c r="AN58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BJ58"/>
  <c r="AH59"/>
  <c r="AI59"/>
  <c r="AJ59"/>
  <c r="AK59"/>
  <c r="AL59"/>
  <c r="AM59"/>
  <c r="AN59"/>
  <c r="AO59"/>
  <c r="AP59"/>
  <c r="AQ59"/>
  <c r="AR59"/>
  <c r="AS59"/>
  <c r="AT59"/>
  <c r="AU59"/>
  <c r="AV59"/>
  <c r="AW59"/>
  <c r="AX59"/>
  <c r="AY59"/>
  <c r="AZ59"/>
  <c r="BA59"/>
  <c r="BB59"/>
  <c r="BC59"/>
  <c r="BD59"/>
  <c r="BE59"/>
  <c r="BF59"/>
  <c r="BG59"/>
  <c r="BH59"/>
  <c r="BI59"/>
  <c r="BJ59"/>
  <c r="AH60"/>
  <c r="AI60"/>
  <c r="AJ60"/>
  <c r="AK60"/>
  <c r="AL60"/>
  <c r="AM60"/>
  <c r="AN60"/>
  <c r="AO60"/>
  <c r="AP60"/>
  <c r="AQ60"/>
  <c r="AR60"/>
  <c r="AS60"/>
  <c r="AT60"/>
  <c r="AU60"/>
  <c r="AV60"/>
  <c r="AW60"/>
  <c r="AX60"/>
  <c r="AY60"/>
  <c r="AZ60"/>
  <c r="BA60"/>
  <c r="BB60"/>
  <c r="BC60"/>
  <c r="BD60"/>
  <c r="BE60"/>
  <c r="BF60"/>
  <c r="BG60"/>
  <c r="BH60"/>
  <c r="BI60"/>
  <c r="BJ60"/>
  <c r="AH61"/>
  <c r="AI61"/>
  <c r="AJ61"/>
  <c r="AK61"/>
  <c r="AL61"/>
  <c r="AM61"/>
  <c r="AN61"/>
  <c r="AO61"/>
  <c r="AP61"/>
  <c r="AQ61"/>
  <c r="AR61"/>
  <c r="AS61"/>
  <c r="AT61"/>
  <c r="AU61"/>
  <c r="AV61"/>
  <c r="AW61"/>
  <c r="AX61"/>
  <c r="AY61"/>
  <c r="AZ61"/>
  <c r="BA61"/>
  <c r="BB61"/>
  <c r="BC61"/>
  <c r="BD61"/>
  <c r="BE61"/>
  <c r="BF61"/>
  <c r="BG61"/>
  <c r="BH61"/>
  <c r="BI61"/>
  <c r="BJ61"/>
  <c r="AH62"/>
  <c r="AI62"/>
  <c r="AJ62"/>
  <c r="AK62"/>
  <c r="AL62"/>
  <c r="AM62"/>
  <c r="AN62"/>
  <c r="AO62"/>
  <c r="AP62"/>
  <c r="AQ62"/>
  <c r="AR62"/>
  <c r="AS62"/>
  <c r="AT62"/>
  <c r="AU62"/>
  <c r="AV62"/>
  <c r="AW62"/>
  <c r="AX62"/>
  <c r="AY62"/>
  <c r="AZ62"/>
  <c r="BA62"/>
  <c r="BB62"/>
  <c r="BC62"/>
  <c r="BD62"/>
  <c r="BE62"/>
  <c r="BF62"/>
  <c r="BG62"/>
  <c r="BH62"/>
  <c r="BI62"/>
  <c r="BJ62"/>
  <c r="AH63"/>
  <c r="AI63"/>
  <c r="AJ63"/>
  <c r="AK63"/>
  <c r="AL63"/>
  <c r="AM63"/>
  <c r="AN63"/>
  <c r="AO63"/>
  <c r="AP63"/>
  <c r="AQ63"/>
  <c r="AR63"/>
  <c r="AS63"/>
  <c r="AT63"/>
  <c r="AU63"/>
  <c r="AV63"/>
  <c r="AW63"/>
  <c r="AX63"/>
  <c r="AY63"/>
  <c r="AZ63"/>
  <c r="BA63"/>
  <c r="BB63"/>
  <c r="BC63"/>
  <c r="BD63"/>
  <c r="BE63"/>
  <c r="BF63"/>
  <c r="BG63"/>
  <c r="BH63"/>
  <c r="BI63"/>
  <c r="BJ63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AH65"/>
  <c r="AI65"/>
  <c r="AJ65"/>
  <c r="AK65"/>
  <c r="AL65"/>
  <c r="AM65"/>
  <c r="AN65"/>
  <c r="AO65"/>
  <c r="AP65"/>
  <c r="AQ65"/>
  <c r="AR65"/>
  <c r="AS65"/>
  <c r="AT65"/>
  <c r="AU65"/>
  <c r="AV65"/>
  <c r="AW65"/>
  <c r="AX65"/>
  <c r="AY65"/>
  <c r="AZ65"/>
  <c r="BA65"/>
  <c r="BB65"/>
  <c r="BC65"/>
  <c r="BD65"/>
  <c r="BE65"/>
  <c r="BF65"/>
  <c r="BG65"/>
  <c r="BH65"/>
  <c r="BI65"/>
  <c r="BJ65"/>
  <c r="AH66"/>
  <c r="AI66"/>
  <c r="AJ66"/>
  <c r="AK66"/>
  <c r="AL66"/>
  <c r="AM66"/>
  <c r="AN66"/>
  <c r="AO66"/>
  <c r="AP66"/>
  <c r="AQ66"/>
  <c r="AR66"/>
  <c r="AS66"/>
  <c r="AT66"/>
  <c r="AU66"/>
  <c r="AV66"/>
  <c r="AW66"/>
  <c r="AX66"/>
  <c r="AY66"/>
  <c r="AZ66"/>
  <c r="BA66"/>
  <c r="BB66"/>
  <c r="BC66"/>
  <c r="BD66"/>
  <c r="BE66"/>
  <c r="BF66"/>
  <c r="BG66"/>
  <c r="BH66"/>
  <c r="BI66"/>
  <c r="BJ66"/>
  <c r="AH67"/>
  <c r="AI67"/>
  <c r="AJ67"/>
  <c r="AK67"/>
  <c r="AL67"/>
  <c r="AM67"/>
  <c r="AN67"/>
  <c r="AO67"/>
  <c r="AP67"/>
  <c r="AQ67"/>
  <c r="AR67"/>
  <c r="AS67"/>
  <c r="AT67"/>
  <c r="AU67"/>
  <c r="AV67"/>
  <c r="AW67"/>
  <c r="AX67"/>
  <c r="AY67"/>
  <c r="AZ67"/>
  <c r="BA67"/>
  <c r="BB67"/>
  <c r="BC67"/>
  <c r="BD67"/>
  <c r="BE67"/>
  <c r="BF67"/>
  <c r="BG67"/>
  <c r="BH67"/>
  <c r="BI67"/>
  <c r="BJ67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38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B38"/>
  <c r="L6" i="6"/>
  <c r="L21" s="1"/>
  <c r="L7"/>
  <c r="L22" s="1"/>
  <c r="L8"/>
  <c r="L23" s="1"/>
  <c r="L9"/>
  <c r="L24" s="1"/>
  <c r="L10"/>
  <c r="L25" s="1"/>
  <c r="L11"/>
  <c r="L26" s="1"/>
  <c r="L12"/>
  <c r="L27" s="1"/>
  <c r="L13"/>
  <c r="L28" s="1"/>
  <c r="L14"/>
  <c r="L29" s="1"/>
  <c r="L5"/>
  <c r="L20" s="1"/>
  <c r="K6"/>
  <c r="K21" s="1"/>
  <c r="K7"/>
  <c r="K22" s="1"/>
  <c r="K8"/>
  <c r="K23" s="1"/>
  <c r="K9"/>
  <c r="K24" s="1"/>
  <c r="K10"/>
  <c r="K25" s="1"/>
  <c r="K11"/>
  <c r="K26" s="1"/>
  <c r="K12"/>
  <c r="K27" s="1"/>
  <c r="K13"/>
  <c r="K28" s="1"/>
  <c r="K14"/>
  <c r="K29" s="1"/>
  <c r="K5"/>
  <c r="K20" s="1"/>
  <c r="E6"/>
  <c r="E21" s="1"/>
  <c r="E7"/>
  <c r="E22" s="1"/>
  <c r="E8"/>
  <c r="E23" s="1"/>
  <c r="E9"/>
  <c r="E24" s="1"/>
  <c r="E10"/>
  <c r="E25" s="1"/>
  <c r="E11"/>
  <c r="E26" s="1"/>
  <c r="E12"/>
  <c r="E27" s="1"/>
  <c r="E13"/>
  <c r="E28" s="1"/>
  <c r="E14"/>
  <c r="E29" s="1"/>
  <c r="D6"/>
  <c r="D21" s="1"/>
  <c r="D7"/>
  <c r="D22" s="1"/>
  <c r="D8"/>
  <c r="D23" s="1"/>
  <c r="D9"/>
  <c r="D24" s="1"/>
  <c r="D10"/>
  <c r="D25" s="1"/>
  <c r="D11"/>
  <c r="D26" s="1"/>
  <c r="D12"/>
  <c r="D27" s="1"/>
  <c r="D13"/>
  <c r="D28" s="1"/>
  <c r="D14"/>
  <c r="D29" s="1"/>
  <c r="J6"/>
  <c r="J21" s="1"/>
  <c r="J7"/>
  <c r="J22" s="1"/>
  <c r="J8"/>
  <c r="J23" s="1"/>
  <c r="J9"/>
  <c r="J24" s="1"/>
  <c r="J10"/>
  <c r="J25" s="1"/>
  <c r="J11"/>
  <c r="J26" s="1"/>
  <c r="J12"/>
  <c r="J27" s="1"/>
  <c r="J13"/>
  <c r="J28" s="1"/>
  <c r="J14"/>
  <c r="J29" s="1"/>
  <c r="J5"/>
  <c r="J20" s="1"/>
  <c r="I6"/>
  <c r="I21" s="1"/>
  <c r="I7"/>
  <c r="I22" s="1"/>
  <c r="I8"/>
  <c r="I23" s="1"/>
  <c r="I9"/>
  <c r="I24" s="1"/>
  <c r="I10"/>
  <c r="I25" s="1"/>
  <c r="I11"/>
  <c r="I26" s="1"/>
  <c r="I12"/>
  <c r="I27" s="1"/>
  <c r="I13"/>
  <c r="I28" s="1"/>
  <c r="I14"/>
  <c r="I29" s="1"/>
  <c r="I5"/>
  <c r="I20" s="1"/>
  <c r="H6"/>
  <c r="H21" s="1"/>
  <c r="H7"/>
  <c r="H22" s="1"/>
  <c r="H8"/>
  <c r="H23" s="1"/>
  <c r="H9"/>
  <c r="H24" s="1"/>
  <c r="H10"/>
  <c r="H25" s="1"/>
  <c r="H11"/>
  <c r="H26" s="1"/>
  <c r="H12"/>
  <c r="H27" s="1"/>
  <c r="H13"/>
  <c r="H28" s="1"/>
  <c r="H14"/>
  <c r="H29" s="1"/>
  <c r="H5"/>
  <c r="H20" s="1"/>
  <c r="G6"/>
  <c r="G21" s="1"/>
  <c r="G7"/>
  <c r="G22" s="1"/>
  <c r="G8"/>
  <c r="G23" s="1"/>
  <c r="G9"/>
  <c r="G24" s="1"/>
  <c r="G10"/>
  <c r="G25" s="1"/>
  <c r="G11"/>
  <c r="G26" s="1"/>
  <c r="G12"/>
  <c r="G27" s="1"/>
  <c r="G13"/>
  <c r="G28" s="1"/>
  <c r="G14"/>
  <c r="G29" s="1"/>
  <c r="G5"/>
  <c r="G20" s="1"/>
  <c r="F6"/>
  <c r="F21" s="1"/>
  <c r="F7"/>
  <c r="F22" s="1"/>
  <c r="F8"/>
  <c r="F23" s="1"/>
  <c r="F9"/>
  <c r="F24" s="1"/>
  <c r="F10"/>
  <c r="F25" s="1"/>
  <c r="F11"/>
  <c r="F26" s="1"/>
  <c r="F12"/>
  <c r="F27" s="1"/>
  <c r="F13"/>
  <c r="F28" s="1"/>
  <c r="F14"/>
  <c r="F29" s="1"/>
  <c r="F5"/>
  <c r="F20" s="1"/>
  <c r="E5"/>
  <c r="E20" s="1"/>
  <c r="D5"/>
  <c r="D20" s="1"/>
  <c r="C5"/>
  <c r="C6" s="1"/>
  <c r="C7" s="1"/>
  <c r="C8" s="1"/>
  <c r="C9" s="1"/>
  <c r="C10" s="1"/>
  <c r="C11" s="1"/>
  <c r="C12" s="1"/>
  <c r="C13" s="1"/>
  <c r="C14" s="1"/>
  <c r="C29" s="1"/>
  <c r="AG34" i="4" a="1"/>
  <c r="AJ34" s="1"/>
  <c r="I50" i="8"/>
  <c r="I51"/>
  <c r="H50"/>
  <c r="H51"/>
  <c r="I29"/>
  <c r="I30"/>
  <c r="H29"/>
  <c r="H30"/>
  <c r="J47" l="1"/>
  <c r="I47"/>
  <c r="H5"/>
  <c r="J5" s="1"/>
  <c r="K19" s="1"/>
  <c r="K20" s="1"/>
  <c r="H58"/>
  <c r="H57"/>
  <c r="I58"/>
  <c r="I57"/>
  <c r="H37"/>
  <c r="H36"/>
  <c r="I37"/>
  <c r="I36"/>
  <c r="H37" i="7" a="1"/>
  <c r="I37" s="1"/>
  <c r="J21" a="1"/>
  <c r="J21" s="1"/>
  <c r="H42"/>
  <c r="J42" s="1" a="1"/>
  <c r="J42" s="1"/>
  <c r="I42"/>
  <c r="H26"/>
  <c r="I26"/>
  <c r="BL63" i="4"/>
  <c r="AG69" a="1"/>
  <c r="BE69" s="1"/>
  <c r="E23" i="5"/>
  <c r="AG104" i="4" a="1"/>
  <c r="BE104" s="1"/>
  <c r="C27" i="6"/>
  <c r="C24"/>
  <c r="C21"/>
  <c r="C26"/>
  <c r="C23"/>
  <c r="C20"/>
  <c r="C28"/>
  <c r="C25"/>
  <c r="C22"/>
  <c r="AK34" i="4"/>
  <c r="BJ34"/>
  <c r="BI34"/>
  <c r="BC34"/>
  <c r="AW34"/>
  <c r="AQ34"/>
  <c r="BD34"/>
  <c r="AX34"/>
  <c r="AR34"/>
  <c r="AL34"/>
  <c r="BE34"/>
  <c r="AY34"/>
  <c r="AM34"/>
  <c r="AZ34"/>
  <c r="AT34"/>
  <c r="AH34"/>
  <c r="BG34"/>
  <c r="BA34"/>
  <c r="AU34"/>
  <c r="AO34"/>
  <c r="AI34"/>
  <c r="AS34"/>
  <c r="AG34"/>
  <c r="BF34"/>
  <c r="AN34"/>
  <c r="BH34"/>
  <c r="BB34"/>
  <c r="AV34"/>
  <c r="AP34"/>
  <c r="H59" i="8" l="1" a="1"/>
  <c r="I59" s="1"/>
  <c r="H38" a="1"/>
  <c r="I38" s="1"/>
  <c r="H37" i="7"/>
  <c r="J37" s="1" a="1"/>
  <c r="J37" s="1"/>
  <c r="K46" s="1"/>
  <c r="K47" s="1"/>
  <c r="J26" a="1"/>
  <c r="J26" s="1"/>
  <c r="AS69" i="4"/>
  <c r="AN69"/>
  <c r="AI69"/>
  <c r="BI69"/>
  <c r="AT69"/>
  <c r="BJ69"/>
  <c r="BD69"/>
  <c r="AO69"/>
  <c r="BA69"/>
  <c r="AQ69"/>
  <c r="AG69"/>
  <c r="BG69"/>
  <c r="BB69"/>
  <c r="AW69"/>
  <c r="AR69"/>
  <c r="AY69"/>
  <c r="AJ69"/>
  <c r="AZ69"/>
  <c r="AU69"/>
  <c r="AP69"/>
  <c r="AK69"/>
  <c r="BF69"/>
  <c r="AV69"/>
  <c r="AL69"/>
  <c r="AM69"/>
  <c r="AH69"/>
  <c r="BH69"/>
  <c r="BC69"/>
  <c r="AX69"/>
  <c r="AR104"/>
  <c r="AX104"/>
  <c r="AY104"/>
  <c r="AT104"/>
  <c r="AI104"/>
  <c r="AJ104"/>
  <c r="AZ104"/>
  <c r="AO104"/>
  <c r="AP104"/>
  <c r="AK104"/>
  <c r="BF104"/>
  <c r="AU104"/>
  <c r="AV104"/>
  <c r="AQ104"/>
  <c r="AL104"/>
  <c r="AG104"/>
  <c r="BG104"/>
  <c r="BB104"/>
  <c r="AW104"/>
  <c r="AM104"/>
  <c r="AH104"/>
  <c r="BH104"/>
  <c r="BC104"/>
  <c r="AS104"/>
  <c r="AN104"/>
  <c r="BA104"/>
  <c r="BI104"/>
  <c r="BD104"/>
  <c r="BJ104"/>
  <c r="BL34" a="1"/>
  <c r="BL34" s="1"/>
  <c r="BL36" s="1"/>
  <c r="BO28" s="1"/>
  <c r="H59" i="8" l="1"/>
  <c r="J59" s="1"/>
  <c r="K61" s="1"/>
  <c r="K62" s="1"/>
  <c r="H38"/>
  <c r="J38" s="1"/>
  <c r="K40" s="1"/>
  <c r="K41" s="1"/>
  <c r="J44" i="7"/>
  <c r="K30"/>
  <c r="K31" s="1"/>
  <c r="J28"/>
  <c r="BL69" i="4" a="1"/>
  <c r="BL69" s="1"/>
  <c r="BL71" s="1"/>
  <c r="BO29" s="1"/>
  <c r="BL104" a="1"/>
  <c r="BL104" s="1"/>
  <c r="BL106" s="1"/>
  <c r="BO30" s="1"/>
  <c r="BO31" l="1"/>
</calcChain>
</file>

<file path=xl/sharedStrings.xml><?xml version="1.0" encoding="utf-8"?>
<sst xmlns="http://schemas.openxmlformats.org/spreadsheetml/2006/main" count="139" uniqueCount="68">
  <si>
    <t>Delta</t>
  </si>
  <si>
    <t>Curv_Up</t>
  </si>
  <si>
    <t>Curv_Dn</t>
  </si>
  <si>
    <t>Total</t>
    <phoneticPr fontId="2" type="noConversion"/>
  </si>
  <si>
    <t>NCD</t>
    <phoneticPr fontId="2" type="noConversion"/>
  </si>
  <si>
    <t>CPBA</t>
    <phoneticPr fontId="2" type="noConversion"/>
  </si>
  <si>
    <t>Normal</t>
    <phoneticPr fontId="2" type="noConversion"/>
  </si>
  <si>
    <t>High</t>
    <phoneticPr fontId="2" type="noConversion"/>
  </si>
  <si>
    <t>Low</t>
    <phoneticPr fontId="2" type="noConversion"/>
  </si>
  <si>
    <t>Capital</t>
    <phoneticPr fontId="2" type="noConversion"/>
  </si>
  <si>
    <t>Required</t>
    <phoneticPr fontId="2" type="noConversion"/>
  </si>
  <si>
    <t>WS</t>
    <phoneticPr fontId="2" type="noConversion"/>
  </si>
  <si>
    <t>TBond</t>
    <phoneticPr fontId="2" type="noConversion"/>
  </si>
  <si>
    <t>FRN</t>
    <phoneticPr fontId="2" type="noConversion"/>
  </si>
  <si>
    <t>IRS</t>
    <phoneticPr fontId="2" type="noConversion"/>
  </si>
  <si>
    <t>Theta</t>
    <phoneticPr fontId="2" type="noConversion"/>
  </si>
  <si>
    <t>Cross</t>
    <phoneticPr fontId="2" type="noConversion"/>
  </si>
  <si>
    <t>Normal</t>
    <phoneticPr fontId="2" type="noConversion"/>
  </si>
  <si>
    <t>Kb+</t>
    <phoneticPr fontId="2" type="noConversion"/>
  </si>
  <si>
    <t>Kb-</t>
    <phoneticPr fontId="2" type="noConversion"/>
  </si>
  <si>
    <t>Kb</t>
    <phoneticPr fontId="2" type="noConversion"/>
  </si>
  <si>
    <t>High</t>
    <phoneticPr fontId="2" type="noConversion"/>
  </si>
  <si>
    <t>Low</t>
    <phoneticPr fontId="2" type="noConversion"/>
  </si>
  <si>
    <t>Required</t>
    <phoneticPr fontId="2" type="noConversion"/>
  </si>
  <si>
    <t>Sb</t>
  </si>
  <si>
    <t>Normal</t>
  </si>
  <si>
    <t>K</t>
  </si>
  <si>
    <t>Capital</t>
  </si>
  <si>
    <t>High</t>
  </si>
  <si>
    <t>Low</t>
  </si>
  <si>
    <t>Required</t>
  </si>
  <si>
    <t>Check Criterion</t>
  </si>
  <si>
    <t>Delta Capital</t>
  </si>
  <si>
    <t>gamma_rating</t>
  </si>
  <si>
    <t>Signed</t>
  </si>
  <si>
    <t>Corr</t>
  </si>
  <si>
    <t>Curvature^2</t>
  </si>
  <si>
    <t>Curvature</t>
  </si>
  <si>
    <t>TWD</t>
    <phoneticPr fontId="2" type="noConversion"/>
  </si>
  <si>
    <t>USD</t>
    <phoneticPr fontId="2" type="noConversion"/>
  </si>
  <si>
    <t>TWD</t>
    <phoneticPr fontId="2" type="noConversion"/>
  </si>
  <si>
    <t>FWD</t>
    <phoneticPr fontId="2" type="noConversion"/>
  </si>
  <si>
    <t>MMS</t>
    <phoneticPr fontId="2" type="noConversion"/>
  </si>
  <si>
    <t>OPT</t>
    <phoneticPr fontId="2" type="noConversion"/>
  </si>
  <si>
    <t>RW</t>
    <phoneticPr fontId="2" type="noConversion"/>
  </si>
  <si>
    <t>WS</t>
    <phoneticPr fontId="2" type="noConversion"/>
  </si>
  <si>
    <t>Total</t>
    <phoneticPr fontId="2" type="noConversion"/>
  </si>
  <si>
    <t>RW</t>
    <phoneticPr fontId="2" type="noConversion"/>
  </si>
  <si>
    <t>FWD</t>
    <phoneticPr fontId="2" type="noConversion"/>
  </si>
  <si>
    <t>USD</t>
    <phoneticPr fontId="2" type="noConversion"/>
  </si>
  <si>
    <t>MMS</t>
    <phoneticPr fontId="2" type="noConversion"/>
  </si>
  <si>
    <t>OPT</t>
    <phoneticPr fontId="2" type="noConversion"/>
  </si>
  <si>
    <t>SB</t>
    <phoneticPr fontId="2" type="noConversion"/>
  </si>
  <si>
    <t>S</t>
    <phoneticPr fontId="2" type="noConversion"/>
  </si>
  <si>
    <t>Sb</t>
    <phoneticPr fontId="2" type="noConversion"/>
  </si>
  <si>
    <t>Swap</t>
    <phoneticPr fontId="2" type="noConversion"/>
  </si>
  <si>
    <t>FXImpCurve</t>
    <phoneticPr fontId="2" type="noConversion"/>
  </si>
  <si>
    <t>TBond</t>
    <phoneticPr fontId="2" type="noConversion"/>
  </si>
  <si>
    <t>Toatl</t>
    <phoneticPr fontId="2" type="noConversion"/>
  </si>
  <si>
    <t>gamma</t>
    <phoneticPr fontId="2" type="noConversion"/>
  </si>
  <si>
    <t>Delta^2</t>
    <phoneticPr fontId="2" type="noConversion"/>
  </si>
  <si>
    <t>High</t>
    <phoneticPr fontId="2" type="noConversion"/>
  </si>
  <si>
    <t>Low</t>
    <phoneticPr fontId="2" type="noConversion"/>
  </si>
  <si>
    <t>CVR+</t>
    <phoneticPr fontId="2" type="noConversion"/>
  </si>
  <si>
    <t>CVR-</t>
    <phoneticPr fontId="2" type="noConversion"/>
  </si>
  <si>
    <t>gamma</t>
    <phoneticPr fontId="2" type="noConversion"/>
  </si>
  <si>
    <t>Sb+</t>
    <phoneticPr fontId="2" type="noConversion"/>
  </si>
  <si>
    <t>Sb-</t>
    <phoneticPr fontId="2" type="noConversion"/>
  </si>
</sst>
</file>

<file path=xl/styles.xml><?xml version="1.0" encoding="utf-8"?>
<styleSheet xmlns="http://schemas.openxmlformats.org/spreadsheetml/2006/main">
  <numFmts count="8">
    <numFmt numFmtId="43" formatCode="_-* #,##0.00_-;\-* #,##0.00_-;_-* &quot;-&quot;??_-;_-@_-"/>
    <numFmt numFmtId="176" formatCode="_-* #,##0_-;\-* #,##0_-;_-* &quot;-&quot;??_-;_-@_-"/>
    <numFmt numFmtId="177" formatCode="0.00000_ "/>
    <numFmt numFmtId="178" formatCode="#,##0_ ;[Red]\-#,##0\ "/>
    <numFmt numFmtId="179" formatCode="0_ ;[Red]\-0\ "/>
    <numFmt numFmtId="180" formatCode="0_ "/>
    <numFmt numFmtId="181" formatCode="0;_愂"/>
    <numFmt numFmtId="182" formatCode="0.00_ "/>
  </numFmts>
  <fonts count="14">
    <font>
      <sz val="12"/>
      <color theme="1"/>
      <name val="新細明體"/>
      <family val="2"/>
      <charset val="136"/>
      <scheme val="minor"/>
    </font>
    <font>
      <sz val="12"/>
      <color theme="1"/>
      <name val="Consolas"/>
      <family val="3"/>
    </font>
    <font>
      <sz val="9"/>
      <name val="新細明體"/>
      <family val="2"/>
      <charset val="136"/>
      <scheme val="minor"/>
    </font>
    <font>
      <sz val="12"/>
      <color rgb="FF0000FF"/>
      <name val="Consolas"/>
      <family val="3"/>
    </font>
    <font>
      <sz val="12"/>
      <color theme="1"/>
      <name val="新細明體"/>
      <family val="2"/>
      <charset val="136"/>
      <scheme val="minor"/>
    </font>
    <font>
      <sz val="12"/>
      <color theme="1"/>
      <name val="Calibri Light"/>
      <family val="2"/>
    </font>
    <font>
      <b/>
      <sz val="12"/>
      <color rgb="FF0000FF"/>
      <name val="Calibri Light"/>
      <family val="2"/>
    </font>
    <font>
      <b/>
      <sz val="12"/>
      <color rgb="FFFF0000"/>
      <name val="Calibri Light"/>
      <family val="2"/>
    </font>
    <font>
      <b/>
      <sz val="12"/>
      <color rgb="FF800000"/>
      <name val="Calibri Light"/>
      <family val="2"/>
    </font>
    <font>
      <sz val="12"/>
      <color rgb="FF000000"/>
      <name val="新細明體"/>
      <family val="1"/>
      <charset val="136"/>
      <scheme val="minor"/>
    </font>
    <font>
      <b/>
      <sz val="12"/>
      <color rgb="FF0000FF"/>
      <name val="Consolas"/>
      <family val="3"/>
    </font>
    <font>
      <sz val="12"/>
      <color rgb="FFFF0000"/>
      <name val="Consolas"/>
      <family val="3"/>
    </font>
    <font>
      <sz val="12"/>
      <name val="Consolas"/>
      <family val="3"/>
    </font>
    <font>
      <sz val="12"/>
      <color rgb="FF0000CC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FF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183">
    <xf numFmtId="0" fontId="0" fillId="0" borderId="0" xfId="0">
      <alignment vertical="center"/>
    </xf>
    <xf numFmtId="0" fontId="1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>
      <alignment vertical="center"/>
    </xf>
    <xf numFmtId="0" fontId="5" fillId="2" borderId="13" xfId="0" applyFont="1" applyFill="1" applyBorder="1">
      <alignment vertical="center"/>
    </xf>
    <xf numFmtId="0" fontId="5" fillId="2" borderId="14" xfId="0" applyFont="1" applyFill="1" applyBorder="1">
      <alignment vertical="center"/>
    </xf>
    <xf numFmtId="0" fontId="5" fillId="3" borderId="14" xfId="0" applyFont="1" applyFill="1" applyBorder="1">
      <alignment vertical="center"/>
    </xf>
    <xf numFmtId="0" fontId="5" fillId="4" borderId="14" xfId="0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5" fillId="0" borderId="0" xfId="0" applyFont="1" applyFill="1">
      <alignment vertical="center"/>
    </xf>
    <xf numFmtId="0" fontId="5" fillId="2" borderId="2" xfId="0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2" borderId="10" xfId="0" applyFont="1" applyFill="1" applyBorder="1">
      <alignment vertical="center"/>
    </xf>
    <xf numFmtId="0" fontId="5" fillId="2" borderId="5" xfId="0" applyFont="1" applyFill="1" applyBorder="1">
      <alignment vertical="center"/>
    </xf>
    <xf numFmtId="0" fontId="5" fillId="2" borderId="0" xfId="0" applyFont="1" applyFill="1" applyBorder="1">
      <alignment vertical="center"/>
    </xf>
    <xf numFmtId="0" fontId="5" fillId="5" borderId="0" xfId="0" applyFont="1" applyFill="1" applyBorder="1">
      <alignment vertical="center"/>
    </xf>
    <xf numFmtId="0" fontId="5" fillId="0" borderId="0" xfId="0" applyFont="1" applyBorder="1">
      <alignment vertical="center"/>
    </xf>
    <xf numFmtId="0" fontId="5" fillId="0" borderId="6" xfId="0" applyFont="1" applyBorder="1">
      <alignment vertical="center"/>
    </xf>
    <xf numFmtId="0" fontId="5" fillId="2" borderId="11" xfId="0" applyFont="1" applyFill="1" applyBorder="1">
      <alignment vertical="center"/>
    </xf>
    <xf numFmtId="0" fontId="5" fillId="5" borderId="5" xfId="0" applyFont="1" applyFill="1" applyBorder="1">
      <alignment vertical="center"/>
    </xf>
    <xf numFmtId="0" fontId="5" fillId="3" borderId="0" xfId="0" applyFont="1" applyFill="1" applyBorder="1">
      <alignment vertical="center"/>
    </xf>
    <xf numFmtId="0" fontId="5" fillId="5" borderId="6" xfId="0" applyFont="1" applyFill="1" applyBorder="1">
      <alignment vertical="center"/>
    </xf>
    <xf numFmtId="0" fontId="5" fillId="3" borderId="11" xfId="0" applyFont="1" applyFill="1" applyBorder="1">
      <alignment vertical="center"/>
    </xf>
    <xf numFmtId="0" fontId="5" fillId="0" borderId="5" xfId="0" applyFont="1" applyBorder="1">
      <alignment vertical="center"/>
    </xf>
    <xf numFmtId="0" fontId="5" fillId="4" borderId="0" xfId="0" applyFont="1" applyFill="1" applyBorder="1">
      <alignment vertical="center"/>
    </xf>
    <xf numFmtId="0" fontId="5" fillId="4" borderId="6" xfId="0" applyFont="1" applyFill="1" applyBorder="1">
      <alignment vertical="center"/>
    </xf>
    <xf numFmtId="0" fontId="5" fillId="4" borderId="11" xfId="0" applyFont="1" applyFill="1" applyBorder="1">
      <alignment vertical="center"/>
    </xf>
    <xf numFmtId="0" fontId="5" fillId="5" borderId="0" xfId="0" applyFont="1" applyFill="1">
      <alignment vertical="center"/>
    </xf>
    <xf numFmtId="0" fontId="5" fillId="0" borderId="7" xfId="0" applyFont="1" applyBorder="1">
      <alignment vertical="center"/>
    </xf>
    <xf numFmtId="0" fontId="5" fillId="0" borderId="8" xfId="0" applyFont="1" applyBorder="1">
      <alignment vertical="center"/>
    </xf>
    <xf numFmtId="0" fontId="5" fillId="5" borderId="8" xfId="0" applyFont="1" applyFill="1" applyBorder="1">
      <alignment vertical="center"/>
    </xf>
    <xf numFmtId="0" fontId="5" fillId="4" borderId="8" xfId="0" applyFont="1" applyFill="1" applyBorder="1">
      <alignment vertical="center"/>
    </xf>
    <xf numFmtId="0" fontId="5" fillId="4" borderId="9" xfId="0" applyFont="1" applyFill="1" applyBorder="1">
      <alignment vertical="center"/>
    </xf>
    <xf numFmtId="0" fontId="5" fillId="4" borderId="12" xfId="0" applyFont="1" applyFill="1" applyBorder="1">
      <alignment vertical="center"/>
    </xf>
    <xf numFmtId="0" fontId="5" fillId="6" borderId="13" xfId="0" applyFont="1" applyFill="1" applyBorder="1">
      <alignment vertical="center"/>
    </xf>
    <xf numFmtId="0" fontId="5" fillId="6" borderId="14" xfId="0" applyFont="1" applyFill="1" applyBorder="1">
      <alignment vertical="center"/>
    </xf>
    <xf numFmtId="0" fontId="5" fillId="6" borderId="15" xfId="0" applyFont="1" applyFill="1" applyBorder="1">
      <alignment vertical="center"/>
    </xf>
    <xf numFmtId="0" fontId="5" fillId="6" borderId="1" xfId="0" applyFont="1" applyFill="1" applyBorder="1">
      <alignment vertical="center"/>
    </xf>
    <xf numFmtId="176" fontId="5" fillId="6" borderId="1" xfId="1" applyNumberFormat="1" applyFont="1" applyFill="1" applyBorder="1">
      <alignment vertical="center"/>
    </xf>
    <xf numFmtId="0" fontId="5" fillId="0" borderId="2" xfId="0" applyFont="1" applyBorder="1">
      <alignment vertical="center"/>
    </xf>
    <xf numFmtId="176" fontId="6" fillId="0" borderId="9" xfId="0" applyNumberFormat="1" applyFont="1" applyBorder="1">
      <alignment vertical="center"/>
    </xf>
    <xf numFmtId="0" fontId="5" fillId="3" borderId="16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5" fillId="3" borderId="18" xfId="0" applyFont="1" applyFill="1" applyBorder="1">
      <alignment vertical="center"/>
    </xf>
    <xf numFmtId="0" fontId="7" fillId="3" borderId="7" xfId="0" applyFont="1" applyFill="1" applyBorder="1">
      <alignment vertical="center"/>
    </xf>
    <xf numFmtId="176" fontId="8" fillId="0" borderId="17" xfId="0" applyNumberFormat="1" applyFont="1" applyBorder="1">
      <alignment vertical="center"/>
    </xf>
    <xf numFmtId="176" fontId="8" fillId="0" borderId="6" xfId="0" applyNumberFormat="1" applyFont="1" applyBorder="1">
      <alignment vertical="center"/>
    </xf>
    <xf numFmtId="176" fontId="8" fillId="0" borderId="19" xfId="0" applyNumberFormat="1" applyFont="1" applyBorder="1">
      <alignment vertical="center"/>
    </xf>
    <xf numFmtId="0" fontId="6" fillId="0" borderId="4" xfId="0" applyFont="1" applyBorder="1">
      <alignment vertical="center"/>
    </xf>
    <xf numFmtId="0" fontId="6" fillId="0" borderId="1" xfId="0" applyFont="1" applyBorder="1">
      <alignment vertical="center"/>
    </xf>
    <xf numFmtId="0" fontId="1" fillId="0" borderId="0" xfId="0" applyFont="1">
      <alignment vertical="center"/>
    </xf>
    <xf numFmtId="178" fontId="1" fillId="0" borderId="0" xfId="0" applyNumberFormat="1" applyFont="1">
      <alignment vertical="center"/>
    </xf>
    <xf numFmtId="10" fontId="1" fillId="0" borderId="0" xfId="0" applyNumberFormat="1" applyFont="1">
      <alignment vertical="center"/>
    </xf>
    <xf numFmtId="0" fontId="1" fillId="0" borderId="0" xfId="0" quotePrefix="1" applyFont="1">
      <alignment vertical="center"/>
    </xf>
    <xf numFmtId="178" fontId="1" fillId="0" borderId="0" xfId="0" applyNumberFormat="1" applyFont="1" applyAlignment="1">
      <alignment vertical="center"/>
    </xf>
    <xf numFmtId="178" fontId="1" fillId="0" borderId="0" xfId="0" applyNumberFormat="1" applyFont="1" applyAlignment="1"/>
    <xf numFmtId="0" fontId="1" fillId="2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0" borderId="2" xfId="0" applyFont="1" applyBorder="1">
      <alignment vertical="center"/>
    </xf>
    <xf numFmtId="177" fontId="1" fillId="0" borderId="3" xfId="0" applyNumberFormat="1" applyFont="1" applyBorder="1">
      <alignment vertical="center"/>
    </xf>
    <xf numFmtId="177" fontId="1" fillId="0" borderId="4" xfId="0" applyNumberFormat="1" applyFont="1" applyBorder="1">
      <alignment vertical="center"/>
    </xf>
    <xf numFmtId="177" fontId="1" fillId="0" borderId="5" xfId="0" applyNumberFormat="1" applyFont="1" applyBorder="1">
      <alignment vertical="center"/>
    </xf>
    <xf numFmtId="0" fontId="1" fillId="0" borderId="0" xfId="0" applyFont="1" applyBorder="1">
      <alignment vertical="center"/>
    </xf>
    <xf numFmtId="177" fontId="1" fillId="0" borderId="0" xfId="0" applyNumberFormat="1" applyFont="1" applyBorder="1">
      <alignment vertical="center"/>
    </xf>
    <xf numFmtId="177" fontId="1" fillId="0" borderId="6" xfId="0" applyNumberFormat="1" applyFont="1" applyBorder="1">
      <alignment vertical="center"/>
    </xf>
    <xf numFmtId="177" fontId="1" fillId="0" borderId="7" xfId="0" applyNumberFormat="1" applyFont="1" applyBorder="1">
      <alignment vertical="center"/>
    </xf>
    <xf numFmtId="177" fontId="1" fillId="0" borderId="8" xfId="0" applyNumberFormat="1" applyFont="1" applyBorder="1">
      <alignment vertical="center"/>
    </xf>
    <xf numFmtId="0" fontId="1" fillId="0" borderId="9" xfId="0" applyFont="1" applyBorder="1">
      <alignment vertical="center"/>
    </xf>
    <xf numFmtId="177" fontId="1" fillId="0" borderId="2" xfId="0" applyNumberFormat="1" applyFont="1" applyBorder="1">
      <alignment vertical="center"/>
    </xf>
    <xf numFmtId="177" fontId="1" fillId="0" borderId="9" xfId="0" applyNumberFormat="1" applyFont="1" applyBorder="1">
      <alignment vertical="center"/>
    </xf>
    <xf numFmtId="0" fontId="1" fillId="0" borderId="0" xfId="0" applyFont="1" applyFill="1" applyBorder="1">
      <alignment vertical="center"/>
    </xf>
    <xf numFmtId="0" fontId="10" fillId="0" borderId="1" xfId="0" applyFont="1" applyBorder="1">
      <alignment vertical="center"/>
    </xf>
    <xf numFmtId="179" fontId="1" fillId="2" borderId="13" xfId="0" applyNumberFormat="1" applyFont="1" applyFill="1" applyBorder="1">
      <alignment vertical="center"/>
    </xf>
    <xf numFmtId="179" fontId="1" fillId="2" borderId="14" xfId="0" applyNumberFormat="1" applyFont="1" applyFill="1" applyBorder="1">
      <alignment vertical="center"/>
    </xf>
    <xf numFmtId="179" fontId="1" fillId="3" borderId="14" xfId="0" applyNumberFormat="1" applyFont="1" applyFill="1" applyBorder="1">
      <alignment vertical="center"/>
    </xf>
    <xf numFmtId="179" fontId="1" fillId="4" borderId="14" xfId="0" applyNumberFormat="1" applyFont="1" applyFill="1" applyBorder="1">
      <alignment vertical="center"/>
    </xf>
    <xf numFmtId="179" fontId="1" fillId="4" borderId="15" xfId="0" applyNumberFormat="1" applyFont="1" applyFill="1" applyBorder="1">
      <alignment vertical="center"/>
    </xf>
    <xf numFmtId="0" fontId="1" fillId="2" borderId="2" xfId="0" applyFont="1" applyFill="1" applyBorder="1">
      <alignment vertical="center"/>
    </xf>
    <xf numFmtId="0" fontId="1" fillId="2" borderId="3" xfId="0" applyFont="1" applyFill="1" applyBorder="1">
      <alignment vertical="center"/>
    </xf>
    <xf numFmtId="0" fontId="1" fillId="5" borderId="3" xfId="0" applyFont="1" applyFill="1" applyBorder="1">
      <alignment vertical="center"/>
    </xf>
    <xf numFmtId="0" fontId="1" fillId="0" borderId="3" xfId="0" applyFont="1" applyBorder="1">
      <alignment vertical="center"/>
    </xf>
    <xf numFmtId="0" fontId="1" fillId="0" borderId="4" xfId="0" applyFont="1" applyBorder="1">
      <alignment vertical="center"/>
    </xf>
    <xf numFmtId="0" fontId="1" fillId="2" borderId="5" xfId="0" applyFont="1" applyFill="1" applyBorder="1">
      <alignment vertical="center"/>
    </xf>
    <xf numFmtId="0" fontId="1" fillId="2" borderId="0" xfId="0" applyFont="1" applyFill="1" applyBorder="1">
      <alignment vertical="center"/>
    </xf>
    <xf numFmtId="0" fontId="1" fillId="5" borderId="0" xfId="0" applyFont="1" applyFill="1" applyBorder="1">
      <alignment vertical="center"/>
    </xf>
    <xf numFmtId="0" fontId="1" fillId="0" borderId="6" xfId="0" applyFont="1" applyBorder="1">
      <alignment vertical="center"/>
    </xf>
    <xf numFmtId="0" fontId="1" fillId="5" borderId="5" xfId="0" applyFont="1" applyFill="1" applyBorder="1">
      <alignment vertical="center"/>
    </xf>
    <xf numFmtId="0" fontId="1" fillId="3" borderId="0" xfId="0" applyFont="1" applyFill="1" applyBorder="1">
      <alignment vertical="center"/>
    </xf>
    <xf numFmtId="0" fontId="1" fillId="5" borderId="6" xfId="0" applyFont="1" applyFill="1" applyBorder="1">
      <alignment vertical="center"/>
    </xf>
    <xf numFmtId="178" fontId="1" fillId="0" borderId="0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8" xfId="0" applyFont="1" applyBorder="1">
      <alignment vertical="center"/>
    </xf>
    <xf numFmtId="178" fontId="1" fillId="0" borderId="9" xfId="0" applyNumberFormat="1" applyFont="1" applyBorder="1">
      <alignment vertical="center"/>
    </xf>
    <xf numFmtId="0" fontId="1" fillId="0" borderId="5" xfId="0" applyFont="1" applyBorder="1">
      <alignment vertical="center"/>
    </xf>
    <xf numFmtId="0" fontId="1" fillId="4" borderId="0" xfId="0" applyFont="1" applyFill="1" applyBorder="1">
      <alignment vertical="center"/>
    </xf>
    <xf numFmtId="0" fontId="1" fillId="4" borderId="6" xfId="0" applyFont="1" applyFill="1" applyBorder="1">
      <alignment vertical="center"/>
    </xf>
    <xf numFmtId="0" fontId="1" fillId="5" borderId="0" xfId="0" applyFont="1" applyFill="1">
      <alignment vertical="center"/>
    </xf>
    <xf numFmtId="0" fontId="1" fillId="5" borderId="8" xfId="0" applyFont="1" applyFill="1" applyBorder="1">
      <alignment vertical="center"/>
    </xf>
    <xf numFmtId="0" fontId="1" fillId="4" borderId="8" xfId="0" applyFont="1" applyFill="1" applyBorder="1">
      <alignment vertical="center"/>
    </xf>
    <xf numFmtId="0" fontId="1" fillId="4" borderId="9" xfId="0" applyFont="1" applyFill="1" applyBorder="1">
      <alignment vertical="center"/>
    </xf>
    <xf numFmtId="0" fontId="1" fillId="0" borderId="15" xfId="0" applyFont="1" applyBorder="1">
      <alignment vertical="center"/>
    </xf>
    <xf numFmtId="0" fontId="1" fillId="4" borderId="0" xfId="0" applyFont="1" applyFill="1">
      <alignment vertical="center"/>
    </xf>
    <xf numFmtId="176" fontId="1" fillId="2" borderId="2" xfId="0" applyNumberFormat="1" applyFont="1" applyFill="1" applyBorder="1">
      <alignment vertical="center"/>
    </xf>
    <xf numFmtId="176" fontId="1" fillId="2" borderId="7" xfId="0" applyNumberFormat="1" applyFont="1" applyFill="1" applyBorder="1">
      <alignment vertical="center"/>
    </xf>
    <xf numFmtId="180" fontId="1" fillId="2" borderId="13" xfId="0" applyNumberFormat="1" applyFont="1" applyFill="1" applyBorder="1">
      <alignment vertical="center"/>
    </xf>
    <xf numFmtId="180" fontId="1" fillId="2" borderId="14" xfId="0" applyNumberFormat="1" applyFont="1" applyFill="1" applyBorder="1">
      <alignment vertical="center"/>
    </xf>
    <xf numFmtId="180" fontId="1" fillId="2" borderId="10" xfId="0" applyNumberFormat="1" applyFont="1" applyFill="1" applyBorder="1">
      <alignment vertical="center"/>
    </xf>
    <xf numFmtId="180" fontId="1" fillId="2" borderId="12" xfId="0" applyNumberFormat="1" applyFont="1" applyFill="1" applyBorder="1">
      <alignment vertical="center"/>
    </xf>
    <xf numFmtId="181" fontId="1" fillId="2" borderId="13" xfId="0" applyNumberFormat="1" applyFont="1" applyFill="1" applyBorder="1">
      <alignment vertical="center"/>
    </xf>
    <xf numFmtId="181" fontId="1" fillId="2" borderId="15" xfId="0" applyNumberFormat="1" applyFont="1" applyFill="1" applyBorder="1">
      <alignment vertical="center"/>
    </xf>
    <xf numFmtId="178" fontId="1" fillId="4" borderId="13" xfId="0" applyNumberFormat="1" applyFont="1" applyFill="1" applyBorder="1">
      <alignment vertical="center"/>
    </xf>
    <xf numFmtId="178" fontId="1" fillId="4" borderId="14" xfId="0" applyNumberFormat="1" applyFont="1" applyFill="1" applyBorder="1">
      <alignment vertical="center"/>
    </xf>
    <xf numFmtId="178" fontId="1" fillId="4" borderId="10" xfId="0" applyNumberFormat="1" applyFont="1" applyFill="1" applyBorder="1">
      <alignment vertical="center"/>
    </xf>
    <xf numFmtId="178" fontId="1" fillId="4" borderId="12" xfId="0" applyNumberFormat="1" applyFont="1" applyFill="1" applyBorder="1">
      <alignment vertical="center"/>
    </xf>
    <xf numFmtId="179" fontId="1" fillId="4" borderId="13" xfId="0" applyNumberFormat="1" applyFont="1" applyFill="1" applyBorder="1">
      <alignment vertical="center"/>
    </xf>
    <xf numFmtId="178" fontId="1" fillId="4" borderId="4" xfId="0" applyNumberFormat="1" applyFont="1" applyFill="1" applyBorder="1">
      <alignment vertical="center"/>
    </xf>
    <xf numFmtId="178" fontId="1" fillId="4" borderId="9" xfId="0" applyNumberFormat="1" applyFont="1" applyFill="1" applyBorder="1">
      <alignment vertical="center"/>
    </xf>
    <xf numFmtId="0" fontId="1" fillId="3" borderId="2" xfId="0" applyFont="1" applyFill="1" applyBorder="1">
      <alignment vertical="center"/>
    </xf>
    <xf numFmtId="0" fontId="1" fillId="3" borderId="4" xfId="0" applyFont="1" applyFill="1" applyBorder="1">
      <alignment vertical="center"/>
    </xf>
    <xf numFmtId="0" fontId="1" fillId="3" borderId="7" xfId="0" applyFont="1" applyFill="1" applyBorder="1">
      <alignment vertical="center"/>
    </xf>
    <xf numFmtId="0" fontId="1" fillId="3" borderId="9" xfId="0" applyFont="1" applyFill="1" applyBorder="1">
      <alignment vertical="center"/>
    </xf>
    <xf numFmtId="0" fontId="1" fillId="3" borderId="13" xfId="0" applyFont="1" applyFill="1" applyBorder="1">
      <alignment vertical="center"/>
    </xf>
    <xf numFmtId="0" fontId="1" fillId="3" borderId="14" xfId="0" applyFont="1" applyFill="1" applyBorder="1">
      <alignment vertical="center"/>
    </xf>
    <xf numFmtId="0" fontId="1" fillId="3" borderId="10" xfId="0" applyFont="1" applyFill="1" applyBorder="1">
      <alignment vertical="center"/>
    </xf>
    <xf numFmtId="0" fontId="1" fillId="3" borderId="5" xfId="0" applyFont="1" applyFill="1" applyBorder="1">
      <alignment vertical="center"/>
    </xf>
    <xf numFmtId="176" fontId="11" fillId="3" borderId="12" xfId="0" applyNumberFormat="1" applyFont="1" applyFill="1" applyBorder="1">
      <alignment vertical="center"/>
    </xf>
    <xf numFmtId="176" fontId="3" fillId="0" borderId="11" xfId="0" applyNumberFormat="1" applyFont="1" applyBorder="1">
      <alignment vertical="center"/>
    </xf>
    <xf numFmtId="0" fontId="1" fillId="6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12" fillId="6" borderId="0" xfId="0" applyFont="1" applyFill="1" applyAlignment="1">
      <alignment vertical="center"/>
    </xf>
    <xf numFmtId="0" fontId="13" fillId="6" borderId="0" xfId="0" applyFont="1" applyFill="1" applyAlignment="1">
      <alignment vertical="center"/>
    </xf>
    <xf numFmtId="10" fontId="1" fillId="0" borderId="0" xfId="2" applyNumberFormat="1" applyFont="1">
      <alignment vertical="center"/>
    </xf>
    <xf numFmtId="11" fontId="1" fillId="0" borderId="0" xfId="0" applyNumberFormat="1" applyFont="1" applyAlignment="1">
      <alignment vertical="center"/>
    </xf>
    <xf numFmtId="11" fontId="1" fillId="0" borderId="0" xfId="0" applyNumberFormat="1" applyFont="1">
      <alignment vertical="center"/>
    </xf>
    <xf numFmtId="11" fontId="1" fillId="0" borderId="0" xfId="0" applyNumberFormat="1" applyFont="1" applyAlignment="1"/>
    <xf numFmtId="178" fontId="1" fillId="0" borderId="6" xfId="0" applyNumberFormat="1" applyFont="1" applyBorder="1">
      <alignment vertical="center"/>
    </xf>
    <xf numFmtId="0" fontId="1" fillId="0" borderId="1" xfId="0" applyFont="1" applyBorder="1">
      <alignment vertical="center"/>
    </xf>
    <xf numFmtId="178" fontId="1" fillId="0" borderId="4" xfId="0" applyNumberFormat="1" applyFont="1" applyBorder="1">
      <alignment vertical="center"/>
    </xf>
    <xf numFmtId="178" fontId="1" fillId="0" borderId="15" xfId="0" applyNumberFormat="1" applyFont="1" applyBorder="1">
      <alignment vertical="center"/>
    </xf>
    <xf numFmtId="0" fontId="1" fillId="2" borderId="2" xfId="0" quotePrefix="1" applyFont="1" applyFill="1" applyBorder="1">
      <alignment vertical="center"/>
    </xf>
    <xf numFmtId="0" fontId="1" fillId="2" borderId="7" xfId="0" applyFont="1" applyFill="1" applyBorder="1">
      <alignment vertical="center"/>
    </xf>
    <xf numFmtId="0" fontId="1" fillId="2" borderId="13" xfId="0" applyFont="1" applyFill="1" applyBorder="1">
      <alignment vertical="center"/>
    </xf>
    <xf numFmtId="0" fontId="0" fillId="0" borderId="0" xfId="0" applyFill="1" applyBorder="1">
      <alignment vertical="center"/>
    </xf>
    <xf numFmtId="176" fontId="3" fillId="0" borderId="15" xfId="0" applyNumberFormat="1" applyFont="1" applyBorder="1">
      <alignment vertical="center"/>
    </xf>
    <xf numFmtId="0" fontId="3" fillId="3" borderId="15" xfId="0" applyFont="1" applyFill="1" applyBorder="1">
      <alignment vertical="center"/>
    </xf>
    <xf numFmtId="0" fontId="3" fillId="3" borderId="4" xfId="0" applyFont="1" applyFill="1" applyBorder="1">
      <alignment vertical="center"/>
    </xf>
    <xf numFmtId="182" fontId="3" fillId="3" borderId="4" xfId="0" applyNumberFormat="1" applyFont="1" applyFill="1" applyBorder="1">
      <alignment vertical="center"/>
    </xf>
    <xf numFmtId="0" fontId="3" fillId="0" borderId="15" xfId="0" applyFont="1" applyBorder="1">
      <alignment vertical="center"/>
    </xf>
    <xf numFmtId="0" fontId="12" fillId="3" borderId="13" xfId="0" applyFont="1" applyFill="1" applyBorder="1">
      <alignment vertical="center"/>
    </xf>
    <xf numFmtId="0" fontId="1" fillId="6" borderId="13" xfId="0" applyFont="1" applyFill="1" applyBorder="1">
      <alignment vertical="center"/>
    </xf>
    <xf numFmtId="0" fontId="1" fillId="6" borderId="15" xfId="0" applyFont="1" applyFill="1" applyBorder="1">
      <alignment vertical="center"/>
    </xf>
    <xf numFmtId="0" fontId="1" fillId="6" borderId="10" xfId="0" applyFont="1" applyFill="1" applyBorder="1">
      <alignment vertical="center"/>
    </xf>
    <xf numFmtId="0" fontId="1" fillId="6" borderId="12" xfId="0" applyFont="1" applyFill="1" applyBorder="1">
      <alignment vertical="center"/>
    </xf>
    <xf numFmtId="0" fontId="1" fillId="6" borderId="7" xfId="0" applyFont="1" applyFill="1" applyBorder="1">
      <alignment vertical="center"/>
    </xf>
    <xf numFmtId="178" fontId="1" fillId="0" borderId="0" xfId="0" applyNumberFormat="1" applyFont="1" applyBorder="1">
      <alignment vertical="center"/>
    </xf>
    <xf numFmtId="178" fontId="1" fillId="0" borderId="8" xfId="0" applyNumberFormat="1" applyFont="1" applyBorder="1">
      <alignment vertical="center"/>
    </xf>
    <xf numFmtId="0" fontId="1" fillId="0" borderId="14" xfId="0" applyFont="1" applyBorder="1">
      <alignment vertical="center"/>
    </xf>
    <xf numFmtId="0" fontId="1" fillId="2" borderId="15" xfId="0" applyFont="1" applyFill="1" applyBorder="1">
      <alignment vertical="center"/>
    </xf>
    <xf numFmtId="0" fontId="1" fillId="2" borderId="10" xfId="0" applyFont="1" applyFill="1" applyBorder="1">
      <alignment vertical="center"/>
    </xf>
    <xf numFmtId="0" fontId="1" fillId="2" borderId="12" xfId="0" applyFont="1" applyFill="1" applyBorder="1">
      <alignment vertical="center"/>
    </xf>
    <xf numFmtId="0" fontId="1" fillId="2" borderId="14" xfId="0" applyFont="1" applyFill="1" applyBorder="1">
      <alignment vertical="center"/>
    </xf>
    <xf numFmtId="176" fontId="3" fillId="0" borderId="10" xfId="0" applyNumberFormat="1" applyFont="1" applyBorder="1">
      <alignment vertical="center"/>
    </xf>
    <xf numFmtId="176" fontId="3" fillId="0" borderId="12" xfId="0" applyNumberFormat="1" applyFont="1" applyBorder="1">
      <alignment vertical="center"/>
    </xf>
    <xf numFmtId="178" fontId="3" fillId="0" borderId="10" xfId="0" applyNumberFormat="1" applyFont="1" applyBorder="1">
      <alignment vertical="center"/>
    </xf>
    <xf numFmtId="178" fontId="3" fillId="0" borderId="11" xfId="0" applyNumberFormat="1" applyFont="1" applyBorder="1">
      <alignment vertical="center"/>
    </xf>
    <xf numFmtId="178" fontId="3" fillId="0" borderId="12" xfId="0" applyNumberFormat="1" applyFont="1" applyBorder="1">
      <alignment vertical="center"/>
    </xf>
    <xf numFmtId="178" fontId="11" fillId="3" borderId="12" xfId="0" applyNumberFormat="1" applyFont="1" applyFill="1" applyBorder="1">
      <alignment vertical="center"/>
    </xf>
    <xf numFmtId="0" fontId="0" fillId="0" borderId="0" xfId="0" applyBorder="1">
      <alignment vertical="center"/>
    </xf>
    <xf numFmtId="178" fontId="1" fillId="3" borderId="6" xfId="0" applyNumberFormat="1" applyFont="1" applyFill="1" applyBorder="1">
      <alignment vertical="center"/>
    </xf>
    <xf numFmtId="178" fontId="1" fillId="3" borderId="9" xfId="0" applyNumberFormat="1" applyFont="1" applyFill="1" applyBorder="1">
      <alignment vertical="center"/>
    </xf>
    <xf numFmtId="178" fontId="1" fillId="0" borderId="8" xfId="0" applyNumberFormat="1" applyFont="1" applyFill="1" applyBorder="1">
      <alignment vertical="center"/>
    </xf>
    <xf numFmtId="0" fontId="1" fillId="2" borderId="11" xfId="0" applyFont="1" applyFill="1" applyBorder="1">
      <alignment vertical="center"/>
    </xf>
    <xf numFmtId="178" fontId="1" fillId="0" borderId="3" xfId="0" applyNumberFormat="1" applyFont="1" applyFill="1" applyBorder="1">
      <alignment vertical="center"/>
    </xf>
    <xf numFmtId="178" fontId="1" fillId="3" borderId="4" xfId="0" applyNumberFormat="1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1" fillId="4" borderId="7" xfId="0" applyFont="1" applyFill="1" applyBorder="1">
      <alignment vertical="center"/>
    </xf>
    <xf numFmtId="178" fontId="3" fillId="0" borderId="0" xfId="0" applyNumberFormat="1" applyFont="1" applyFill="1" applyBorder="1">
      <alignment vertical="center"/>
    </xf>
    <xf numFmtId="178" fontId="11" fillId="0" borderId="0" xfId="0" applyNumberFormat="1" applyFont="1" applyFill="1" applyBorder="1">
      <alignment vertical="center"/>
    </xf>
  </cellXfs>
  <cellStyles count="3">
    <cellStyle name="一般" xfId="0" builtinId="0"/>
    <cellStyle name="千分位" xfId="1" builtinId="3"/>
    <cellStyle name="百分比" xfId="2" builtinId="5"/>
  </cellStyles>
  <dxfs count="0"/>
  <tableStyles count="0" defaultTableStyle="TableStyleMedium9" defaultPivotStyle="PivotStyleLight16"/>
  <colors>
    <mruColors>
      <color rgb="FFCCFFCC"/>
      <color rgb="FFCCFFFF"/>
      <color rgb="FFFFFFCC"/>
      <color rgb="FFFFCCFF"/>
      <color rgb="FF0000FF"/>
      <color rgb="FF80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K6"/>
  <sheetViews>
    <sheetView workbookViewId="0">
      <selection activeCell="N2" sqref="N2"/>
    </sheetView>
  </sheetViews>
  <sheetFormatPr defaultRowHeight="17"/>
  <cols>
    <col min="4" max="4" width="13.90625" customWidth="1"/>
    <col min="5" max="5" width="11.90625" customWidth="1"/>
    <col min="6" max="6" width="12" customWidth="1"/>
    <col min="7" max="7" width="14.26953125" customWidth="1"/>
    <col min="8" max="8" width="10.6328125" bestFit="1" customWidth="1"/>
    <col min="9" max="9" width="11.7265625" customWidth="1"/>
    <col min="10" max="10" width="15.36328125" customWidth="1"/>
    <col min="11" max="11" width="11.7265625" customWidth="1"/>
    <col min="12" max="12" width="15.90625" customWidth="1"/>
    <col min="13" max="13" width="10.90625" customWidth="1"/>
    <col min="14" max="14" width="16" customWidth="1"/>
    <col min="15" max="18" width="9.26953125" bestFit="1" customWidth="1"/>
    <col min="19" max="19" width="12.7265625" customWidth="1"/>
    <col min="20" max="21" width="9.26953125" bestFit="1" customWidth="1"/>
    <col min="22" max="22" width="12.453125" customWidth="1"/>
    <col min="23" max="23" width="9.26953125" bestFit="1" customWidth="1"/>
    <col min="24" max="24" width="12.36328125" customWidth="1"/>
    <col min="25" max="25" width="9.26953125" bestFit="1" customWidth="1"/>
    <col min="28" max="30" width="9.26953125" bestFit="1" customWidth="1"/>
    <col min="31" max="31" width="11.7265625" customWidth="1"/>
    <col min="32" max="33" width="9.26953125" bestFit="1" customWidth="1"/>
    <col min="34" max="34" width="13.26953125" customWidth="1"/>
    <col min="35" max="35" width="9.26953125" bestFit="1" customWidth="1"/>
    <col min="36" max="36" width="13.81640625" customWidth="1"/>
    <col min="37" max="37" width="9.26953125" bestFit="1" customWidth="1"/>
  </cols>
  <sheetData>
    <row r="1" spans="1:37">
      <c r="A1" s="55"/>
      <c r="B1" s="55"/>
      <c r="C1" s="1" t="s">
        <v>11</v>
      </c>
      <c r="D1" s="2">
        <v>0.25</v>
      </c>
      <c r="E1" s="2">
        <v>0.5</v>
      </c>
      <c r="F1" s="2">
        <v>1</v>
      </c>
      <c r="G1" s="2">
        <v>2</v>
      </c>
      <c r="H1" s="2">
        <v>3</v>
      </c>
      <c r="I1" s="2">
        <v>5</v>
      </c>
      <c r="J1" s="2">
        <v>10</v>
      </c>
      <c r="K1" s="2">
        <v>15</v>
      </c>
      <c r="L1" s="2">
        <v>20</v>
      </c>
      <c r="M1" s="2">
        <v>30</v>
      </c>
      <c r="N1" s="3" t="s">
        <v>52</v>
      </c>
      <c r="O1" s="1" t="s">
        <v>1</v>
      </c>
      <c r="P1" s="2">
        <v>0.25</v>
      </c>
      <c r="Q1" s="2">
        <v>0.5</v>
      </c>
      <c r="R1" s="2">
        <v>1</v>
      </c>
      <c r="S1" s="2">
        <v>2</v>
      </c>
      <c r="T1" s="2">
        <v>3</v>
      </c>
      <c r="U1" s="2">
        <v>5</v>
      </c>
      <c r="V1" s="2">
        <v>10</v>
      </c>
      <c r="W1" s="2">
        <v>15</v>
      </c>
      <c r="X1" s="2">
        <v>20</v>
      </c>
      <c r="Y1" s="2">
        <v>30</v>
      </c>
      <c r="Z1" s="3"/>
      <c r="AA1" s="1" t="s">
        <v>2</v>
      </c>
      <c r="AB1" s="2">
        <v>0.25</v>
      </c>
      <c r="AC1" s="2">
        <v>0.5</v>
      </c>
      <c r="AD1" s="2">
        <v>1</v>
      </c>
      <c r="AE1" s="2">
        <v>2</v>
      </c>
      <c r="AF1" s="2">
        <v>3</v>
      </c>
      <c r="AG1" s="2">
        <v>5</v>
      </c>
      <c r="AH1" s="2">
        <v>10</v>
      </c>
      <c r="AI1" s="2">
        <v>15</v>
      </c>
      <c r="AJ1" s="2">
        <v>20</v>
      </c>
      <c r="AK1" s="2">
        <v>30</v>
      </c>
    </row>
    <row r="2" spans="1:37">
      <c r="A2" s="55" t="s">
        <v>3</v>
      </c>
      <c r="B2" s="55"/>
      <c r="C2" s="55"/>
      <c r="D2" s="56">
        <f>SUM(D5:D6)</f>
        <v>-1289583.0103579159</v>
      </c>
      <c r="E2" s="56">
        <f t="shared" ref="E2:AK2" si="0">SUM(E5:E6)</f>
        <v>-2.4496018886566171E-3</v>
      </c>
      <c r="F2" s="56">
        <f t="shared" si="0"/>
        <v>-20596.949995756149</v>
      </c>
      <c r="G2" s="56">
        <f t="shared" si="0"/>
        <v>-492242.95445188868</v>
      </c>
      <c r="H2" s="56">
        <f t="shared" si="0"/>
        <v>-5.9572979807853678E-2</v>
      </c>
      <c r="I2" s="56">
        <f t="shared" si="0"/>
        <v>-20197.626650854942</v>
      </c>
      <c r="J2" s="56">
        <f t="shared" si="0"/>
        <v>-5245839.5390330814</v>
      </c>
      <c r="K2" s="56">
        <f t="shared" si="0"/>
        <v>-42195.410498939447</v>
      </c>
      <c r="L2" s="56">
        <f t="shared" si="0"/>
        <v>-1882212.5290493111</v>
      </c>
      <c r="M2" s="56">
        <f t="shared" si="0"/>
        <v>0</v>
      </c>
      <c r="N2" s="56">
        <f>SUM(D2:M2)</f>
        <v>-8992868.0820603296</v>
      </c>
      <c r="O2" s="56"/>
      <c r="P2" s="56">
        <f t="shared" si="0"/>
        <v>-3831.5955747664052</v>
      </c>
      <c r="Q2" s="56">
        <f t="shared" si="0"/>
        <v>-2.6747584342956818E-6</v>
      </c>
      <c r="R2" s="56">
        <f t="shared" si="0"/>
        <v>-11.95510629378259</v>
      </c>
      <c r="S2" s="56">
        <f t="shared" si="0"/>
        <v>-10237.63320052065</v>
      </c>
      <c r="T2" s="56">
        <f t="shared" si="0"/>
        <v>-1.6693212091922829E-3</v>
      </c>
      <c r="U2" s="56">
        <f t="shared" si="0"/>
        <v>-10.106484632942729</v>
      </c>
      <c r="V2" s="56">
        <f t="shared" si="0"/>
        <v>-644755.17572524119</v>
      </c>
      <c r="W2" s="56">
        <f t="shared" si="0"/>
        <v>-239.72509921901661</v>
      </c>
      <c r="X2" s="56">
        <f t="shared" si="0"/>
        <v>-429960.79729110468</v>
      </c>
      <c r="Y2" s="56">
        <f t="shared" si="0"/>
        <v>0</v>
      </c>
      <c r="Z2" s="56"/>
      <c r="AA2" s="56"/>
      <c r="AB2" s="56">
        <f t="shared" si="0"/>
        <v>-3904.4763222932738</v>
      </c>
      <c r="AC2" s="56">
        <f t="shared" si="0"/>
        <v>-4.5318156480788914E-6</v>
      </c>
      <c r="AD2" s="56">
        <f t="shared" si="0"/>
        <v>-12.10545822046697</v>
      </c>
      <c r="AE2" s="56">
        <f t="shared" si="0"/>
        <v>-10584.565291913221</v>
      </c>
      <c r="AF2" s="56">
        <f t="shared" si="0"/>
        <v>-1.736156642436974E-3</v>
      </c>
      <c r="AG2" s="56">
        <f t="shared" si="0"/>
        <v>-10.231076629828751</v>
      </c>
      <c r="AH2" s="56">
        <f t="shared" si="0"/>
        <v>-730260.2720593838</v>
      </c>
      <c r="AI2" s="56">
        <f t="shared" si="0"/>
        <v>-243.77171393296891</v>
      </c>
      <c r="AJ2" s="56">
        <f t="shared" si="0"/>
        <v>-542518.63291020505</v>
      </c>
      <c r="AK2" s="56">
        <f t="shared" si="0"/>
        <v>0</v>
      </c>
    </row>
    <row r="3" spans="1:37">
      <c r="A3" s="55"/>
      <c r="B3" s="55"/>
      <c r="C3" s="55"/>
      <c r="D3" s="57"/>
      <c r="E3" s="57"/>
      <c r="F3" s="57"/>
      <c r="G3" s="57"/>
      <c r="H3" s="57"/>
      <c r="I3" s="57"/>
      <c r="J3" s="57"/>
      <c r="K3" s="57"/>
      <c r="L3" s="57"/>
      <c r="M3" s="57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</row>
    <row r="4" spans="1:37">
      <c r="A4" s="55"/>
      <c r="B4" s="55"/>
      <c r="C4" s="1" t="s">
        <v>11</v>
      </c>
      <c r="D4" s="2">
        <v>0.25</v>
      </c>
      <c r="E4" s="2">
        <v>0.5</v>
      </c>
      <c r="F4" s="2">
        <v>1</v>
      </c>
      <c r="G4" s="2">
        <v>2</v>
      </c>
      <c r="H4" s="2">
        <v>3</v>
      </c>
      <c r="I4" s="2">
        <v>5</v>
      </c>
      <c r="J4" s="2">
        <v>10</v>
      </c>
      <c r="K4" s="2">
        <v>15</v>
      </c>
      <c r="L4" s="2">
        <v>20</v>
      </c>
      <c r="M4" s="2">
        <v>30</v>
      </c>
      <c r="N4" s="3"/>
      <c r="O4" s="1" t="s">
        <v>1</v>
      </c>
      <c r="P4" s="2">
        <v>0.25</v>
      </c>
      <c r="Q4" s="2">
        <v>0.5</v>
      </c>
      <c r="R4" s="2">
        <v>1</v>
      </c>
      <c r="S4" s="2">
        <v>2</v>
      </c>
      <c r="T4" s="2">
        <v>3</v>
      </c>
      <c r="U4" s="2">
        <v>5</v>
      </c>
      <c r="V4" s="2">
        <v>10</v>
      </c>
      <c r="W4" s="2">
        <v>15</v>
      </c>
      <c r="X4" s="2">
        <v>20</v>
      </c>
      <c r="Y4" s="2">
        <v>30</v>
      </c>
      <c r="Z4" s="3"/>
      <c r="AA4" s="1" t="s">
        <v>2</v>
      </c>
      <c r="AB4" s="2">
        <v>0.25</v>
      </c>
      <c r="AC4" s="2">
        <v>0.5</v>
      </c>
      <c r="AD4" s="2">
        <v>1</v>
      </c>
      <c r="AE4" s="2">
        <v>2</v>
      </c>
      <c r="AF4" s="2">
        <v>3</v>
      </c>
      <c r="AG4" s="2">
        <v>5</v>
      </c>
      <c r="AH4" s="2">
        <v>10</v>
      </c>
      <c r="AI4" s="2">
        <v>15</v>
      </c>
      <c r="AJ4" s="2">
        <v>20</v>
      </c>
      <c r="AK4" s="2">
        <v>30</v>
      </c>
    </row>
    <row r="5" spans="1:37">
      <c r="A5" s="55" t="s">
        <v>4</v>
      </c>
      <c r="B5" s="55"/>
      <c r="C5" s="55"/>
      <c r="D5" s="56">
        <v>-1289583.0103579159</v>
      </c>
      <c r="E5" s="56">
        <v>0</v>
      </c>
      <c r="F5" s="56">
        <v>0</v>
      </c>
      <c r="G5" s="56">
        <v>0</v>
      </c>
      <c r="H5" s="56">
        <v>0</v>
      </c>
      <c r="I5" s="56">
        <v>0</v>
      </c>
      <c r="J5" s="56">
        <v>0</v>
      </c>
      <c r="K5" s="56">
        <v>0</v>
      </c>
      <c r="L5" s="56">
        <v>0</v>
      </c>
      <c r="M5" s="56">
        <v>0</v>
      </c>
      <c r="N5" s="56"/>
      <c r="O5" s="56"/>
      <c r="P5" s="56">
        <v>-3831.5955747664052</v>
      </c>
      <c r="Q5" s="56">
        <v>0</v>
      </c>
      <c r="R5" s="56">
        <v>0</v>
      </c>
      <c r="S5" s="56">
        <v>0</v>
      </c>
      <c r="T5" s="56">
        <v>0</v>
      </c>
      <c r="U5" s="56">
        <v>0</v>
      </c>
      <c r="V5" s="56">
        <v>0</v>
      </c>
      <c r="W5" s="56">
        <v>0</v>
      </c>
      <c r="X5" s="56">
        <v>0</v>
      </c>
      <c r="Y5" s="56">
        <v>0</v>
      </c>
      <c r="Z5" s="56"/>
      <c r="AA5" s="56"/>
      <c r="AB5" s="56">
        <v>-3904.4763222932738</v>
      </c>
      <c r="AC5" s="56">
        <v>0</v>
      </c>
      <c r="AD5" s="56">
        <v>0</v>
      </c>
      <c r="AE5" s="56">
        <v>0</v>
      </c>
      <c r="AF5" s="56">
        <v>0</v>
      </c>
      <c r="AG5" s="56">
        <v>0</v>
      </c>
      <c r="AH5" s="56">
        <v>0</v>
      </c>
      <c r="AI5" s="56">
        <v>0</v>
      </c>
      <c r="AJ5" s="56">
        <v>0</v>
      </c>
      <c r="AK5" s="56">
        <v>0</v>
      </c>
    </row>
    <row r="6" spans="1:37">
      <c r="A6" s="58" t="s">
        <v>12</v>
      </c>
      <c r="B6" s="55"/>
      <c r="C6" s="3"/>
      <c r="D6" s="59">
        <v>0</v>
      </c>
      <c r="E6" s="59">
        <v>-2.4496018886566171E-3</v>
      </c>
      <c r="F6" s="59">
        <v>-20596.949995756149</v>
      </c>
      <c r="G6" s="59">
        <v>-492242.95445188868</v>
      </c>
      <c r="H6" s="59">
        <v>-5.9572979807853678E-2</v>
      </c>
      <c r="I6" s="59">
        <v>-20197.626650854942</v>
      </c>
      <c r="J6" s="59">
        <v>-5245839.5390330814</v>
      </c>
      <c r="K6" s="59">
        <v>-42195.410498939447</v>
      </c>
      <c r="L6" s="59">
        <v>-1882212.5290493111</v>
      </c>
      <c r="M6" s="59">
        <v>0</v>
      </c>
      <c r="N6" s="60"/>
      <c r="O6" s="59"/>
      <c r="P6" s="59">
        <v>0</v>
      </c>
      <c r="Q6" s="59">
        <v>-2.6747584342956818E-6</v>
      </c>
      <c r="R6" s="59">
        <v>-11.95510629378259</v>
      </c>
      <c r="S6" s="59">
        <v>-10237.63320052065</v>
      </c>
      <c r="T6" s="59">
        <v>-1.6693212091922829E-3</v>
      </c>
      <c r="U6" s="59">
        <v>-10.106484632942729</v>
      </c>
      <c r="V6" s="59">
        <v>-644755.17572524119</v>
      </c>
      <c r="W6" s="59">
        <v>-239.72509921901661</v>
      </c>
      <c r="X6" s="59">
        <v>-429960.79729110468</v>
      </c>
      <c r="Y6" s="59">
        <v>0</v>
      </c>
      <c r="Z6" s="60"/>
      <c r="AA6" s="59"/>
      <c r="AB6" s="59">
        <v>0</v>
      </c>
      <c r="AC6" s="59">
        <v>-4.5318156480788914E-6</v>
      </c>
      <c r="AD6" s="59">
        <v>-12.10545822046697</v>
      </c>
      <c r="AE6" s="59">
        <v>-10584.565291913221</v>
      </c>
      <c r="AF6" s="59">
        <v>-1.736156642436974E-3</v>
      </c>
      <c r="AG6" s="59">
        <v>-10.231076629828751</v>
      </c>
      <c r="AH6" s="59">
        <v>-730260.2720593838</v>
      </c>
      <c r="AI6" s="59">
        <v>-243.77171393296891</v>
      </c>
      <c r="AJ6" s="59">
        <v>-542518.63291020505</v>
      </c>
      <c r="AK6" s="59">
        <v>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K7"/>
  <sheetViews>
    <sheetView workbookViewId="0">
      <selection activeCell="P13" sqref="P13"/>
    </sheetView>
  </sheetViews>
  <sheetFormatPr defaultRowHeight="17"/>
  <cols>
    <col min="4" max="4" width="16.6328125" customWidth="1"/>
    <col min="5" max="6" width="9.26953125" bestFit="1" customWidth="1"/>
    <col min="7" max="10" width="10.54296875" bestFit="1" customWidth="1"/>
    <col min="11" max="13" width="9.26953125" bestFit="1" customWidth="1"/>
    <col min="14" max="14" width="16.54296875" customWidth="1"/>
    <col min="16" max="25" width="9.26953125" bestFit="1" customWidth="1"/>
    <col min="28" max="37" width="9.26953125" bestFit="1" customWidth="1"/>
  </cols>
  <sheetData>
    <row r="1" spans="1:37">
      <c r="A1" s="55"/>
      <c r="B1" s="55"/>
      <c r="C1" s="1" t="s">
        <v>11</v>
      </c>
      <c r="D1" s="2">
        <v>0.25</v>
      </c>
      <c r="E1" s="2">
        <v>0.5</v>
      </c>
      <c r="F1" s="2">
        <v>1</v>
      </c>
      <c r="G1" s="2">
        <v>2</v>
      </c>
      <c r="H1" s="2">
        <v>3</v>
      </c>
      <c r="I1" s="2">
        <v>5</v>
      </c>
      <c r="J1" s="2">
        <v>10</v>
      </c>
      <c r="K1" s="2">
        <v>15</v>
      </c>
      <c r="L1" s="2">
        <v>20</v>
      </c>
      <c r="M1" s="2">
        <v>30</v>
      </c>
      <c r="N1" s="3" t="s">
        <v>52</v>
      </c>
      <c r="O1" s="1" t="s">
        <v>1</v>
      </c>
      <c r="P1" s="2">
        <v>0.25</v>
      </c>
      <c r="Q1" s="2">
        <v>0.5</v>
      </c>
      <c r="R1" s="2">
        <v>1</v>
      </c>
      <c r="S1" s="2">
        <v>2</v>
      </c>
      <c r="T1" s="2">
        <v>3</v>
      </c>
      <c r="U1" s="2">
        <v>5</v>
      </c>
      <c r="V1" s="2">
        <v>10</v>
      </c>
      <c r="W1" s="2">
        <v>15</v>
      </c>
      <c r="X1" s="2">
        <v>20</v>
      </c>
      <c r="Y1" s="2">
        <v>30</v>
      </c>
      <c r="Z1" s="3"/>
      <c r="AA1" s="1" t="s">
        <v>2</v>
      </c>
      <c r="AB1" s="2">
        <v>0.25</v>
      </c>
      <c r="AC1" s="2">
        <v>0.5</v>
      </c>
      <c r="AD1" s="2">
        <v>1</v>
      </c>
      <c r="AE1" s="2">
        <v>2</v>
      </c>
      <c r="AF1" s="2">
        <v>3</v>
      </c>
      <c r="AG1" s="2">
        <v>5</v>
      </c>
      <c r="AH1" s="2">
        <v>10</v>
      </c>
      <c r="AI1" s="2">
        <v>15</v>
      </c>
      <c r="AJ1" s="2">
        <v>20</v>
      </c>
      <c r="AK1" s="2">
        <v>30</v>
      </c>
    </row>
    <row r="2" spans="1:37">
      <c r="A2" s="55" t="s">
        <v>3</v>
      </c>
      <c r="B2" s="55"/>
      <c r="C2" s="55"/>
      <c r="D2" s="56">
        <f>SUM(D5:D7)</f>
        <v>-75751779.007127717</v>
      </c>
      <c r="E2" s="56">
        <f t="shared" ref="E2:AK2" si="0">SUM(E5:E7)</f>
        <v>280.511037184624</v>
      </c>
      <c r="F2" s="56">
        <f t="shared" si="0"/>
        <v>1470.1558178663261</v>
      </c>
      <c r="G2" s="56">
        <f t="shared" si="0"/>
        <v>-16449.785142964683</v>
      </c>
      <c r="H2" s="56">
        <f t="shared" si="0"/>
        <v>-59409.797171372928</v>
      </c>
      <c r="I2" s="56">
        <f t="shared" si="0"/>
        <v>-93358.024354481604</v>
      </c>
      <c r="J2" s="56">
        <f t="shared" si="0"/>
        <v>-22512.061756365001</v>
      </c>
      <c r="K2" s="56">
        <f t="shared" si="0"/>
        <v>0</v>
      </c>
      <c r="L2" s="56">
        <f t="shared" si="0"/>
        <v>0</v>
      </c>
      <c r="M2" s="56">
        <f t="shared" si="0"/>
        <v>0</v>
      </c>
      <c r="N2" s="56">
        <f>SUM(D2:M2)</f>
        <v>-75941758.008697838</v>
      </c>
      <c r="O2" s="56"/>
      <c r="P2" s="56">
        <f t="shared" si="0"/>
        <v>-3821.6924156480304</v>
      </c>
      <c r="Q2" s="56">
        <f t="shared" si="0"/>
        <v>5.4676610843744271</v>
      </c>
      <c r="R2" s="56">
        <f t="shared" si="0"/>
        <v>50.224077225313664</v>
      </c>
      <c r="S2" s="56">
        <f t="shared" si="0"/>
        <v>-146.08950838062637</v>
      </c>
      <c r="T2" s="56">
        <f t="shared" si="0"/>
        <v>-1911.9322340327824</v>
      </c>
      <c r="U2" s="56">
        <f t="shared" si="0"/>
        <v>-5619.9748036838137</v>
      </c>
      <c r="V2" s="56">
        <f t="shared" si="0"/>
        <v>-704.22602411836851</v>
      </c>
      <c r="W2" s="56">
        <f t="shared" si="0"/>
        <v>0</v>
      </c>
      <c r="X2" s="56">
        <f t="shared" si="0"/>
        <v>0</v>
      </c>
      <c r="Y2" s="56">
        <f t="shared" si="0"/>
        <v>0</v>
      </c>
      <c r="Z2" s="56"/>
      <c r="AA2" s="56"/>
      <c r="AB2" s="56">
        <f t="shared" si="0"/>
        <v>-3894.843195648974</v>
      </c>
      <c r="AC2" s="56">
        <f t="shared" si="0"/>
        <v>1.8596327516715836</v>
      </c>
      <c r="AD2" s="56">
        <f t="shared" si="0"/>
        <v>21.668892826186351</v>
      </c>
      <c r="AE2" s="56">
        <f t="shared" si="0"/>
        <v>-160.37902403750735</v>
      </c>
      <c r="AF2" s="56">
        <f t="shared" si="0"/>
        <v>-1729.9468109219988</v>
      </c>
      <c r="AG2" s="56">
        <f t="shared" si="0"/>
        <v>-5825.5745921346834</v>
      </c>
      <c r="AH2" s="56">
        <f t="shared" si="0"/>
        <v>-732.55008022976108</v>
      </c>
      <c r="AI2" s="56">
        <f t="shared" si="0"/>
        <v>0</v>
      </c>
      <c r="AJ2" s="56">
        <f t="shared" si="0"/>
        <v>0</v>
      </c>
      <c r="AK2" s="56">
        <f t="shared" si="0"/>
        <v>0</v>
      </c>
    </row>
    <row r="3" spans="1:37">
      <c r="A3" s="55"/>
      <c r="B3" s="55"/>
      <c r="C3" s="55"/>
      <c r="D3" s="57"/>
      <c r="E3" s="57"/>
      <c r="F3" s="57"/>
      <c r="G3" s="57"/>
      <c r="H3" s="57"/>
      <c r="I3" s="57"/>
      <c r="J3" s="57"/>
      <c r="K3" s="57"/>
      <c r="L3" s="57"/>
      <c r="M3" s="57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</row>
    <row r="4" spans="1:37">
      <c r="A4" s="55"/>
      <c r="B4" s="55"/>
      <c r="C4" s="1" t="s">
        <v>11</v>
      </c>
      <c r="D4" s="2">
        <v>0.25</v>
      </c>
      <c r="E4" s="2">
        <v>0.5</v>
      </c>
      <c r="F4" s="2">
        <v>1</v>
      </c>
      <c r="G4" s="2">
        <v>2</v>
      </c>
      <c r="H4" s="2">
        <v>3</v>
      </c>
      <c r="I4" s="2">
        <v>5</v>
      </c>
      <c r="J4" s="2">
        <v>10</v>
      </c>
      <c r="K4" s="2">
        <v>15</v>
      </c>
      <c r="L4" s="2">
        <v>20</v>
      </c>
      <c r="M4" s="2">
        <v>30</v>
      </c>
      <c r="N4" s="3"/>
      <c r="O4" s="1" t="s">
        <v>1</v>
      </c>
      <c r="P4" s="2">
        <v>0.25</v>
      </c>
      <c r="Q4" s="2">
        <v>0.5</v>
      </c>
      <c r="R4" s="2">
        <v>1</v>
      </c>
      <c r="S4" s="2">
        <v>2</v>
      </c>
      <c r="T4" s="2">
        <v>3</v>
      </c>
      <c r="U4" s="2">
        <v>5</v>
      </c>
      <c r="V4" s="2">
        <v>10</v>
      </c>
      <c r="W4" s="2">
        <v>15</v>
      </c>
      <c r="X4" s="2">
        <v>20</v>
      </c>
      <c r="Y4" s="2">
        <v>30</v>
      </c>
      <c r="Z4" s="3"/>
      <c r="AA4" s="1" t="s">
        <v>2</v>
      </c>
      <c r="AB4" s="2">
        <v>0.25</v>
      </c>
      <c r="AC4" s="2">
        <v>0.5</v>
      </c>
      <c r="AD4" s="2">
        <v>1</v>
      </c>
      <c r="AE4" s="2">
        <v>2</v>
      </c>
      <c r="AF4" s="2">
        <v>3</v>
      </c>
      <c r="AG4" s="2">
        <v>5</v>
      </c>
      <c r="AH4" s="2">
        <v>10</v>
      </c>
      <c r="AI4" s="2">
        <v>15</v>
      </c>
      <c r="AJ4" s="2">
        <v>20</v>
      </c>
      <c r="AK4" s="2">
        <v>30</v>
      </c>
    </row>
    <row r="5" spans="1:37">
      <c r="A5" s="55" t="s">
        <v>5</v>
      </c>
      <c r="B5" s="55"/>
      <c r="C5" s="55"/>
      <c r="D5" s="56">
        <v>-75751870.06264925</v>
      </c>
      <c r="E5" s="56">
        <v>0</v>
      </c>
      <c r="F5" s="56">
        <v>0</v>
      </c>
      <c r="G5" s="56">
        <v>0</v>
      </c>
      <c r="H5" s="56">
        <v>0</v>
      </c>
      <c r="I5" s="56">
        <v>0</v>
      </c>
      <c r="J5" s="56">
        <v>0</v>
      </c>
      <c r="K5" s="56">
        <v>0</v>
      </c>
      <c r="L5" s="56">
        <v>0</v>
      </c>
      <c r="M5" s="56">
        <v>0</v>
      </c>
      <c r="N5" s="56"/>
      <c r="O5" s="56"/>
      <c r="P5" s="56">
        <v>-3822.4850140810081</v>
      </c>
      <c r="Q5" s="56">
        <v>0</v>
      </c>
      <c r="R5" s="56">
        <v>0</v>
      </c>
      <c r="S5" s="56">
        <v>0</v>
      </c>
      <c r="T5" s="56">
        <v>0</v>
      </c>
      <c r="U5" s="56">
        <v>0</v>
      </c>
      <c r="V5" s="56">
        <v>0</v>
      </c>
      <c r="W5" s="56">
        <v>0</v>
      </c>
      <c r="X5" s="56">
        <v>0</v>
      </c>
      <c r="Y5" s="56">
        <v>0</v>
      </c>
      <c r="Z5" s="56"/>
      <c r="AA5" s="56"/>
      <c r="AB5" s="56">
        <v>-3895.1660108566221</v>
      </c>
      <c r="AC5" s="56">
        <v>0</v>
      </c>
      <c r="AD5" s="56">
        <v>0</v>
      </c>
      <c r="AE5" s="56">
        <v>0</v>
      </c>
      <c r="AF5" s="56">
        <v>0</v>
      </c>
      <c r="AG5" s="56">
        <v>0</v>
      </c>
      <c r="AH5" s="56">
        <v>0</v>
      </c>
      <c r="AI5" s="56">
        <v>0</v>
      </c>
      <c r="AJ5" s="56">
        <v>0</v>
      </c>
      <c r="AK5" s="56">
        <v>0</v>
      </c>
    </row>
    <row r="6" spans="1:37">
      <c r="A6" s="55" t="s">
        <v>13</v>
      </c>
      <c r="B6" s="55"/>
      <c r="C6" s="3"/>
      <c r="D6" s="59">
        <v>-106.4311803539749</v>
      </c>
      <c r="E6" s="59">
        <v>-370.80803025630303</v>
      </c>
      <c r="F6" s="59">
        <v>-1350.387986525893</v>
      </c>
      <c r="G6" s="59">
        <v>-16844.841389872599</v>
      </c>
      <c r="H6" s="59">
        <v>-53814.760295357562</v>
      </c>
      <c r="I6" s="59">
        <v>-91646.634926504921</v>
      </c>
      <c r="J6" s="59">
        <v>-22512.061756365001</v>
      </c>
      <c r="K6" s="59">
        <v>0</v>
      </c>
      <c r="L6" s="59">
        <v>0</v>
      </c>
      <c r="M6" s="59">
        <v>0</v>
      </c>
      <c r="N6" s="60"/>
      <c r="O6" s="59"/>
      <c r="P6" s="59">
        <v>-0.15858355874661709</v>
      </c>
      <c r="Q6" s="59">
        <v>-1.1792210452258729</v>
      </c>
      <c r="R6" s="59">
        <v>-9.0868109556614058</v>
      </c>
      <c r="S6" s="59">
        <v>-164.10197629383961</v>
      </c>
      <c r="T6" s="59">
        <v>-1444.842689807763</v>
      </c>
      <c r="U6" s="59">
        <v>-5404.2249033614062</v>
      </c>
      <c r="V6" s="59">
        <v>-704.22602411836851</v>
      </c>
      <c r="W6" s="59">
        <v>0</v>
      </c>
      <c r="X6" s="59">
        <v>0</v>
      </c>
      <c r="Y6" s="59">
        <v>0</v>
      </c>
      <c r="Z6" s="60"/>
      <c r="AA6" s="59"/>
      <c r="AB6" s="59">
        <v>-0.16082106868270429</v>
      </c>
      <c r="AC6" s="59">
        <v>-1.198776170145706</v>
      </c>
      <c r="AD6" s="59">
        <v>-9.2809912681113342</v>
      </c>
      <c r="AE6" s="59">
        <v>-168.0289092349102</v>
      </c>
      <c r="AF6" s="59">
        <v>-1502.3325235579359</v>
      </c>
      <c r="AG6" s="59">
        <v>-5765.7858239186471</v>
      </c>
      <c r="AH6" s="59">
        <v>-732.55008022976108</v>
      </c>
      <c r="AI6" s="59">
        <v>0</v>
      </c>
      <c r="AJ6" s="59">
        <v>0</v>
      </c>
      <c r="AK6" s="59">
        <v>0</v>
      </c>
    </row>
    <row r="7" spans="1:37">
      <c r="A7" s="55" t="s">
        <v>14</v>
      </c>
      <c r="B7" s="55"/>
      <c r="C7" s="55"/>
      <c r="D7" s="56">
        <v>197.48670188477263</v>
      </c>
      <c r="E7" s="56">
        <v>651.31906744092703</v>
      </c>
      <c r="F7" s="56">
        <v>2820.543804392219</v>
      </c>
      <c r="G7" s="56">
        <v>395.05624690791586</v>
      </c>
      <c r="H7" s="56">
        <v>-5595.0368760153651</v>
      </c>
      <c r="I7" s="56">
        <v>-1711.389427976683</v>
      </c>
      <c r="J7" s="56">
        <v>0</v>
      </c>
      <c r="K7" s="56">
        <v>0</v>
      </c>
      <c r="L7" s="56">
        <v>0</v>
      </c>
      <c r="M7" s="56">
        <v>0</v>
      </c>
      <c r="N7" s="56"/>
      <c r="O7" s="56"/>
      <c r="P7" s="56">
        <v>0.95118199172429752</v>
      </c>
      <c r="Q7" s="56">
        <v>6.6468821296003</v>
      </c>
      <c r="R7" s="56">
        <v>59.31088818097507</v>
      </c>
      <c r="S7" s="56">
        <v>18.012467913213243</v>
      </c>
      <c r="T7" s="56">
        <v>-467.08954422501938</v>
      </c>
      <c r="U7" s="56">
        <v>-215.74990032240751</v>
      </c>
      <c r="V7" s="56">
        <v>0</v>
      </c>
      <c r="W7" s="56">
        <v>0</v>
      </c>
      <c r="X7" s="56">
        <v>0</v>
      </c>
      <c r="Y7" s="56">
        <v>0</v>
      </c>
      <c r="Z7" s="56"/>
      <c r="AA7" s="56"/>
      <c r="AB7" s="56">
        <v>0.48363627633079881</v>
      </c>
      <c r="AC7" s="56">
        <v>3.0584089218172896</v>
      </c>
      <c r="AD7" s="56">
        <v>30.949884094297687</v>
      </c>
      <c r="AE7" s="56">
        <v>7.6498851974028579</v>
      </c>
      <c r="AF7" s="56">
        <v>-227.61428736406287</v>
      </c>
      <c r="AG7" s="56">
        <v>-59.78876821603626</v>
      </c>
      <c r="AH7" s="56">
        <v>0</v>
      </c>
      <c r="AI7" s="56">
        <v>0</v>
      </c>
      <c r="AJ7" s="56">
        <v>0</v>
      </c>
      <c r="AK7" s="56">
        <v>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W7"/>
  <sheetViews>
    <sheetView workbookViewId="0">
      <selection activeCell="AZ3" sqref="AZ3"/>
    </sheetView>
  </sheetViews>
  <sheetFormatPr defaultRowHeight="17"/>
  <cols>
    <col min="4" max="4" width="14.81640625" bestFit="1" customWidth="1"/>
    <col min="5" max="5" width="13.54296875" bestFit="1" customWidth="1"/>
    <col min="6" max="6" width="14.81640625" bestFit="1" customWidth="1"/>
    <col min="7" max="8" width="12.1796875" bestFit="1" customWidth="1"/>
    <col min="9" max="13" width="11.36328125" bestFit="1" customWidth="1"/>
    <col min="14" max="14" width="15.54296875" customWidth="1"/>
    <col min="16" max="16" width="12.1796875" bestFit="1" customWidth="1"/>
    <col min="17" max="17" width="11.6328125" bestFit="1" customWidth="1"/>
    <col min="18" max="19" width="12.1796875" bestFit="1" customWidth="1"/>
    <col min="20" max="21" width="11.6328125" bestFit="1" customWidth="1"/>
    <col min="22" max="25" width="11.36328125" bestFit="1" customWidth="1"/>
    <col min="27" max="27" width="11.36328125" bestFit="1" customWidth="1"/>
    <col min="28" max="28" width="12.1796875" bestFit="1" customWidth="1"/>
    <col min="29" max="29" width="11.6328125" bestFit="1" customWidth="1"/>
    <col min="30" max="31" width="12.1796875" bestFit="1" customWidth="1"/>
    <col min="32" max="32" width="11.6328125" bestFit="1" customWidth="1"/>
    <col min="33" max="37" width="11.36328125" bestFit="1" customWidth="1"/>
    <col min="42" max="42" width="12.26953125" bestFit="1" customWidth="1"/>
    <col min="43" max="43" width="12.453125" bestFit="1" customWidth="1"/>
    <col min="44" max="44" width="12.26953125" bestFit="1" customWidth="1"/>
    <col min="45" max="45" width="11.1796875" bestFit="1" customWidth="1"/>
    <col min="46" max="51" width="11" bestFit="1" customWidth="1"/>
    <col min="52" max="52" width="15.6328125" customWidth="1"/>
    <col min="54" max="56" width="12.26953125" bestFit="1" customWidth="1"/>
    <col min="57" max="63" width="11" bestFit="1" customWidth="1"/>
    <col min="66" max="68" width="12.26953125" bestFit="1" customWidth="1"/>
    <col min="69" max="75" width="11" bestFit="1" customWidth="1"/>
  </cols>
  <sheetData>
    <row r="1" spans="1:75">
      <c r="C1" s="1" t="s">
        <v>45</v>
      </c>
      <c r="D1" s="2">
        <v>0.25</v>
      </c>
      <c r="E1" s="2">
        <v>0.5</v>
      </c>
      <c r="F1" s="2">
        <v>1</v>
      </c>
      <c r="G1" s="2">
        <v>2</v>
      </c>
      <c r="H1" s="2">
        <v>3</v>
      </c>
      <c r="I1" s="2">
        <v>5</v>
      </c>
      <c r="J1" s="2">
        <v>10</v>
      </c>
      <c r="K1" s="2">
        <v>15</v>
      </c>
      <c r="L1" s="2">
        <v>20</v>
      </c>
      <c r="M1" s="2">
        <v>30</v>
      </c>
      <c r="N1" s="3" t="s">
        <v>52</v>
      </c>
      <c r="O1" s="1" t="s">
        <v>1</v>
      </c>
      <c r="P1" s="2">
        <v>0.25</v>
      </c>
      <c r="Q1" s="2">
        <v>0.5</v>
      </c>
      <c r="R1" s="2">
        <v>1</v>
      </c>
      <c r="S1" s="2">
        <v>2</v>
      </c>
      <c r="T1" s="2">
        <v>3</v>
      </c>
      <c r="U1" s="2">
        <v>5</v>
      </c>
      <c r="V1" s="2">
        <v>10</v>
      </c>
      <c r="W1" s="2">
        <v>15</v>
      </c>
      <c r="X1" s="2">
        <v>20</v>
      </c>
      <c r="Y1" s="2">
        <v>30</v>
      </c>
      <c r="Z1" s="3"/>
      <c r="AA1" s="1" t="s">
        <v>2</v>
      </c>
      <c r="AB1" s="2">
        <v>0.25</v>
      </c>
      <c r="AC1" s="2">
        <v>0.5</v>
      </c>
      <c r="AD1" s="2">
        <v>1</v>
      </c>
      <c r="AE1" s="2">
        <v>2</v>
      </c>
      <c r="AF1" s="2">
        <v>3</v>
      </c>
      <c r="AG1" s="2">
        <v>5</v>
      </c>
      <c r="AH1" s="2">
        <v>10</v>
      </c>
      <c r="AI1" s="2">
        <v>15</v>
      </c>
      <c r="AJ1" s="2">
        <v>20</v>
      </c>
      <c r="AK1" s="2">
        <v>30</v>
      </c>
      <c r="AO1" s="132" t="s">
        <v>45</v>
      </c>
      <c r="AP1" s="133">
        <v>0.25</v>
      </c>
      <c r="AQ1" s="133">
        <v>0.5</v>
      </c>
      <c r="AR1" s="133">
        <v>1</v>
      </c>
      <c r="AS1" s="133">
        <v>2</v>
      </c>
      <c r="AT1" s="133">
        <v>3</v>
      </c>
      <c r="AU1" s="133">
        <v>5</v>
      </c>
      <c r="AV1" s="133">
        <v>10</v>
      </c>
      <c r="AW1" s="133">
        <v>15</v>
      </c>
      <c r="AX1" s="133">
        <v>20</v>
      </c>
      <c r="AY1" s="133">
        <v>30</v>
      </c>
      <c r="AZ1" s="3" t="s">
        <v>54</v>
      </c>
      <c r="BA1" s="132" t="s">
        <v>1</v>
      </c>
      <c r="BB1" s="133">
        <v>0.25</v>
      </c>
      <c r="BC1" s="133">
        <v>0.5</v>
      </c>
      <c r="BD1" s="133">
        <v>1</v>
      </c>
      <c r="BE1" s="133">
        <v>2</v>
      </c>
      <c r="BF1" s="133">
        <v>3</v>
      </c>
      <c r="BG1" s="133">
        <v>5</v>
      </c>
      <c r="BH1" s="133">
        <v>10</v>
      </c>
      <c r="BI1" s="133">
        <v>15</v>
      </c>
      <c r="BJ1" s="133">
        <v>20</v>
      </c>
      <c r="BK1" s="133">
        <v>30</v>
      </c>
      <c r="BL1" s="3"/>
      <c r="BM1" s="134" t="s">
        <v>2</v>
      </c>
      <c r="BN1" s="135">
        <v>0.25</v>
      </c>
      <c r="BO1" s="135">
        <v>0.5</v>
      </c>
      <c r="BP1" s="135">
        <v>1</v>
      </c>
      <c r="BQ1" s="135">
        <v>2</v>
      </c>
      <c r="BR1" s="135">
        <v>3</v>
      </c>
      <c r="BS1" s="135">
        <v>5</v>
      </c>
      <c r="BT1" s="135">
        <v>10</v>
      </c>
      <c r="BU1" s="135">
        <v>15</v>
      </c>
      <c r="BV1" s="135">
        <v>20</v>
      </c>
      <c r="BW1" s="135">
        <v>30</v>
      </c>
    </row>
    <row r="2" spans="1:75">
      <c r="A2" s="55" t="s">
        <v>3</v>
      </c>
      <c r="B2" s="55"/>
      <c r="D2" s="56">
        <f>SUM(D5:D7)*D3</f>
        <v>-146872.16611042386</v>
      </c>
      <c r="E2" s="56">
        <f>SUM(E5:E7)*E3</f>
        <v>337047.60769391479</v>
      </c>
      <c r="F2" s="56">
        <f>SUM(F5:F7)*F3</f>
        <v>-461901.25595226866</v>
      </c>
      <c r="G2" s="56">
        <f>SUM(G5:G7)*G3</f>
        <v>0</v>
      </c>
      <c r="H2" s="56">
        <f>SUM(H5:H7)*H3</f>
        <v>0</v>
      </c>
      <c r="I2" s="56">
        <f>SUM(I5:I7)*I3</f>
        <v>0</v>
      </c>
      <c r="J2" s="56">
        <f>SUM(J5:J7)*J3</f>
        <v>0</v>
      </c>
      <c r="K2" s="56">
        <f>SUM(K5:K7)*K3</f>
        <v>0</v>
      </c>
      <c r="L2" s="56">
        <f>SUM(L5:L7)*L3</f>
        <v>0</v>
      </c>
      <c r="M2" s="56">
        <f>SUM(M5:M7)*M3</f>
        <v>0</v>
      </c>
      <c r="N2" s="56">
        <f>SUM(D2:M2)</f>
        <v>-271725.81436877773</v>
      </c>
      <c r="O2" s="56"/>
      <c r="P2" s="56">
        <f>SUM(P5:P7)*D3</f>
        <v>-46.930568489054842</v>
      </c>
      <c r="Q2" s="56">
        <f>SUM(Q5:Q7)*E3</f>
        <v>119.69090243360559</v>
      </c>
      <c r="R2" s="56">
        <f>SUM(R5:R7)*F3</f>
        <v>-286.81077387980935</v>
      </c>
      <c r="S2" s="56">
        <f>SUM(S5:S7)*G3</f>
        <v>0</v>
      </c>
      <c r="T2" s="56">
        <f>SUM(T5:T7)*H3</f>
        <v>0</v>
      </c>
      <c r="U2" s="56">
        <f>SUM(U5:U7)*I3</f>
        <v>0</v>
      </c>
      <c r="V2" s="56">
        <f>SUM(V5:V7)*J3</f>
        <v>0</v>
      </c>
      <c r="W2" s="56">
        <f>SUM(W5:W7)*K3</f>
        <v>0</v>
      </c>
      <c r="X2" s="56">
        <f>SUM(X5:X7)*L3</f>
        <v>0</v>
      </c>
      <c r="Y2" s="56">
        <f>SUM(Y5:Y7)*M3</f>
        <v>0</v>
      </c>
      <c r="Z2" s="56"/>
      <c r="AA2" s="56"/>
      <c r="AB2" s="56">
        <f>SUM(AB5:AB7)*D3</f>
        <v>-48.553484392396534</v>
      </c>
      <c r="AC2" s="56">
        <f>SUM(AC5:AC7)*E3</f>
        <v>121.07521303545656</v>
      </c>
      <c r="AD2" s="56">
        <f>SUM(AD5:AD7)*F3</f>
        <v>-299.9383723488487</v>
      </c>
      <c r="AE2" s="56">
        <f>SUM(AE5:AE7)*G3</f>
        <v>0</v>
      </c>
      <c r="AF2" s="56">
        <f>SUM(AF5:AF7)*H3</f>
        <v>0</v>
      </c>
      <c r="AG2" s="56">
        <f>SUM(AG5:AG7)*I3</f>
        <v>0</v>
      </c>
      <c r="AH2" s="56">
        <f>SUM(AH5:AH7)*J3</f>
        <v>0</v>
      </c>
      <c r="AI2" s="56">
        <f>SUM(AI5:AI7)*K3</f>
        <v>0</v>
      </c>
      <c r="AJ2" s="56">
        <f>SUM(AJ5:AJ7)*L3</f>
        <v>0</v>
      </c>
      <c r="AK2" s="56">
        <f>SUM(AK5:AK7)*M3</f>
        <v>0</v>
      </c>
      <c r="AM2" s="55" t="s">
        <v>46</v>
      </c>
      <c r="AN2" s="55"/>
      <c r="AO2" s="3"/>
      <c r="AP2" s="56">
        <f>SUM(AP5:AP7)*AP3</f>
        <v>145465.51988418738</v>
      </c>
      <c r="AQ2" s="56">
        <f>SUM(AQ5:AQ7)*AQ3</f>
        <v>-331078.93059245823</v>
      </c>
      <c r="AR2" s="56">
        <f>SUM(AR5:AR7)*AR3</f>
        <v>448629.68422889704</v>
      </c>
      <c r="AS2" s="56">
        <f>SUM(AS5:AS7)*AS3</f>
        <v>0</v>
      </c>
      <c r="AT2" s="56">
        <f>SUM(AT5:AT7)*AT3</f>
        <v>0</v>
      </c>
      <c r="AU2" s="56">
        <f>SUM(AU5:AU7)*AU3</f>
        <v>0</v>
      </c>
      <c r="AV2" s="56">
        <f>SUM(AV5:AV7)*AV3</f>
        <v>0</v>
      </c>
      <c r="AW2" s="56">
        <f>SUM(AW5:AW7)*AW3</f>
        <v>0</v>
      </c>
      <c r="AX2" s="56">
        <f>SUM(AX5:AX7)*AX3</f>
        <v>0</v>
      </c>
      <c r="AY2" s="56">
        <f>SUM(AY5:AY7)*AY3</f>
        <v>0</v>
      </c>
      <c r="AZ2" s="59">
        <f>SUM(AP2:AY2)</f>
        <v>263016.27352062619</v>
      </c>
      <c r="BA2" s="59"/>
      <c r="BB2" s="56">
        <f>SUM(BB5:BB7)*AP3</f>
        <v>-34.610328719095854</v>
      </c>
      <c r="BC2" s="56">
        <f>SUM(BC5:BC7)*AQ3</f>
        <v>71.902661658887283</v>
      </c>
      <c r="BD2" s="56">
        <f>SUM(BD5:BD7)*AR3</f>
        <v>-193.3809669859111</v>
      </c>
      <c r="BE2" s="56">
        <f>SUM(BE5:BE7)*AS3</f>
        <v>0</v>
      </c>
      <c r="BF2" s="56">
        <f>SUM(BF5:BF7)*AT3</f>
        <v>0</v>
      </c>
      <c r="BG2" s="56">
        <f>SUM(BG5:BG7)*AU3</f>
        <v>0</v>
      </c>
      <c r="BH2" s="56">
        <f>SUM(BH5:BH7)*AV3</f>
        <v>0</v>
      </c>
      <c r="BI2" s="56">
        <f>SUM(BI5:BI7)*AW3</f>
        <v>0</v>
      </c>
      <c r="BJ2" s="56">
        <f>SUM(BJ5:BJ7)*AX3</f>
        <v>0</v>
      </c>
      <c r="BK2" s="56">
        <f>SUM(BK5:BK7)*AY3</f>
        <v>0</v>
      </c>
      <c r="BL2" s="59"/>
      <c r="BM2" s="59"/>
      <c r="BN2" s="56">
        <f>SUM(BN5:BN7)*AP3</f>
        <v>-34.300513382120236</v>
      </c>
      <c r="BO2" s="56">
        <f>SUM(BO5:BO7)*AQ3</f>
        <v>74.161245349388409</v>
      </c>
      <c r="BP2" s="56">
        <f>SUM(BP5:BP7)*AR3</f>
        <v>-192.145563349627</v>
      </c>
      <c r="BQ2" s="56">
        <f>SUM(BQ5:BQ7)*AS3</f>
        <v>0</v>
      </c>
      <c r="BR2" s="56">
        <f>SUM(BR5:BR7)*AT3</f>
        <v>0</v>
      </c>
      <c r="BS2" s="56">
        <f>SUM(BS5:BS7)*AU3</f>
        <v>0</v>
      </c>
      <c r="BT2" s="56">
        <f>SUM(BT5:BT7)*AV3</f>
        <v>0</v>
      </c>
      <c r="BU2" s="56">
        <f>SUM(BU5:BU7)*AW3</f>
        <v>0</v>
      </c>
      <c r="BV2" s="56">
        <f>SUM(BV5:BV7)*AX3</f>
        <v>0</v>
      </c>
      <c r="BW2" s="56">
        <f>SUM(BW5:BW7)*AY3</f>
        <v>0</v>
      </c>
    </row>
    <row r="3" spans="1:75">
      <c r="A3" s="55" t="s">
        <v>47</v>
      </c>
      <c r="B3" s="55"/>
      <c r="D3" s="136">
        <v>1.7000000000000001E-2</v>
      </c>
      <c r="E3" s="136">
        <v>1.7000000000000001E-2</v>
      </c>
      <c r="F3" s="136">
        <v>1.6E-2</v>
      </c>
      <c r="G3" s="136">
        <v>1.2999999999999999E-2</v>
      </c>
      <c r="H3" s="136">
        <v>1.2E-2</v>
      </c>
      <c r="I3" s="136">
        <v>1.0999999999999999E-2</v>
      </c>
      <c r="J3" s="136">
        <v>1.0999999999999999E-2</v>
      </c>
      <c r="K3" s="136">
        <v>1.0999999999999999E-2</v>
      </c>
      <c r="L3" s="136">
        <v>1.0999999999999999E-2</v>
      </c>
      <c r="M3" s="136">
        <v>1.0999999999999999E-2</v>
      </c>
      <c r="N3" s="136"/>
      <c r="O3" s="136"/>
      <c r="P3" s="136"/>
      <c r="Q3" s="136"/>
      <c r="R3" s="136"/>
      <c r="S3" s="136"/>
      <c r="T3" s="136"/>
      <c r="U3" s="136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6"/>
      <c r="AG3" s="136"/>
      <c r="AH3" s="136"/>
      <c r="AI3" s="136"/>
      <c r="AJ3" s="136"/>
      <c r="AK3" s="136"/>
      <c r="AM3" s="55" t="s">
        <v>44</v>
      </c>
      <c r="AN3" s="55"/>
      <c r="AP3" s="57">
        <v>1.7000000000000001E-2</v>
      </c>
      <c r="AQ3" s="57">
        <v>1.7000000000000001E-2</v>
      </c>
      <c r="AR3" s="57">
        <v>1.6E-2</v>
      </c>
      <c r="AS3" s="57">
        <v>1.2999999999999999E-2</v>
      </c>
      <c r="AT3" s="57">
        <v>1.2E-2</v>
      </c>
      <c r="AU3" s="57">
        <v>1.0999999999999999E-2</v>
      </c>
      <c r="AV3" s="57">
        <v>1.0999999999999999E-2</v>
      </c>
      <c r="AW3" s="57">
        <v>1.0999999999999999E-2</v>
      </c>
      <c r="AX3" s="57">
        <v>1.0999999999999999E-2</v>
      </c>
      <c r="AY3" s="57">
        <v>1.0999999999999999E-2</v>
      </c>
    </row>
    <row r="4" spans="1:75">
      <c r="A4" s="55"/>
      <c r="B4" s="55"/>
      <c r="C4" s="1" t="s">
        <v>0</v>
      </c>
      <c r="D4" s="2">
        <v>0.25</v>
      </c>
      <c r="E4" s="2">
        <v>0.5</v>
      </c>
      <c r="F4" s="2">
        <v>1</v>
      </c>
      <c r="G4" s="2">
        <v>2</v>
      </c>
      <c r="H4" s="2">
        <v>3</v>
      </c>
      <c r="I4" s="2">
        <v>5</v>
      </c>
      <c r="J4" s="2">
        <v>10</v>
      </c>
      <c r="K4" s="2">
        <v>15</v>
      </c>
      <c r="L4" s="2">
        <v>20</v>
      </c>
      <c r="M4" s="2">
        <v>30</v>
      </c>
      <c r="N4" s="3"/>
      <c r="O4" s="1" t="s">
        <v>1</v>
      </c>
      <c r="P4" s="2">
        <v>0.25</v>
      </c>
      <c r="Q4" s="2">
        <v>0.5</v>
      </c>
      <c r="R4" s="2">
        <v>1</v>
      </c>
      <c r="S4" s="2">
        <v>2</v>
      </c>
      <c r="T4" s="2">
        <v>3</v>
      </c>
      <c r="U4" s="2">
        <v>5</v>
      </c>
      <c r="V4" s="2">
        <v>10</v>
      </c>
      <c r="W4" s="2">
        <v>15</v>
      </c>
      <c r="X4" s="2">
        <v>20</v>
      </c>
      <c r="Y4" s="2">
        <v>30</v>
      </c>
      <c r="Z4" s="3"/>
      <c r="AA4" s="1" t="s">
        <v>2</v>
      </c>
      <c r="AB4" s="2">
        <v>0.25</v>
      </c>
      <c r="AC4" s="2">
        <v>0.5</v>
      </c>
      <c r="AD4" s="2">
        <v>1</v>
      </c>
      <c r="AE4" s="2">
        <v>2</v>
      </c>
      <c r="AF4" s="2">
        <v>3</v>
      </c>
      <c r="AG4" s="2">
        <v>5</v>
      </c>
      <c r="AH4" s="2">
        <v>10</v>
      </c>
      <c r="AI4" s="2">
        <v>15</v>
      </c>
      <c r="AJ4" s="2">
        <v>20</v>
      </c>
      <c r="AK4" s="2">
        <v>30</v>
      </c>
      <c r="AM4" s="55"/>
      <c r="AN4" s="55"/>
      <c r="AO4" s="132" t="s">
        <v>0</v>
      </c>
      <c r="AP4" s="133">
        <v>0.25</v>
      </c>
      <c r="AQ4" s="133">
        <v>0.5</v>
      </c>
      <c r="AR4" s="133">
        <v>1</v>
      </c>
      <c r="AS4" s="133">
        <v>2</v>
      </c>
      <c r="AT4" s="133">
        <v>3</v>
      </c>
      <c r="AU4" s="133">
        <v>5</v>
      </c>
      <c r="AV4" s="133">
        <v>10</v>
      </c>
      <c r="AW4" s="133">
        <v>15</v>
      </c>
      <c r="AX4" s="133">
        <v>20</v>
      </c>
      <c r="AY4" s="133">
        <v>30</v>
      </c>
      <c r="AZ4" s="3"/>
      <c r="BA4" s="132" t="s">
        <v>1</v>
      </c>
      <c r="BB4" s="133">
        <v>0.25</v>
      </c>
      <c r="BC4" s="133">
        <v>0.5</v>
      </c>
      <c r="BD4" s="133">
        <v>1</v>
      </c>
      <c r="BE4" s="133">
        <v>2</v>
      </c>
      <c r="BF4" s="133">
        <v>3</v>
      </c>
      <c r="BG4" s="133">
        <v>5</v>
      </c>
      <c r="BH4" s="133">
        <v>10</v>
      </c>
      <c r="BI4" s="133">
        <v>15</v>
      </c>
      <c r="BJ4" s="133">
        <v>20</v>
      </c>
      <c r="BK4" s="133">
        <v>30</v>
      </c>
      <c r="BL4" s="3"/>
      <c r="BM4" s="134" t="s">
        <v>2</v>
      </c>
      <c r="BN4" s="135">
        <v>0.25</v>
      </c>
      <c r="BO4" s="135">
        <v>0.5</v>
      </c>
      <c r="BP4" s="135">
        <v>1</v>
      </c>
      <c r="BQ4" s="135">
        <v>2</v>
      </c>
      <c r="BR4" s="135">
        <v>3</v>
      </c>
      <c r="BS4" s="135">
        <v>5</v>
      </c>
      <c r="BT4" s="135">
        <v>10</v>
      </c>
      <c r="BU4" s="135">
        <v>15</v>
      </c>
      <c r="BV4" s="135">
        <v>20</v>
      </c>
      <c r="BW4" s="135">
        <v>30</v>
      </c>
    </row>
    <row r="5" spans="1:75">
      <c r="A5" s="55" t="s">
        <v>48</v>
      </c>
      <c r="B5" s="55" t="s">
        <v>49</v>
      </c>
      <c r="D5" s="137">
        <v>-3655840.9145846968</v>
      </c>
      <c r="E5" s="137">
        <v>5582868.0689260326</v>
      </c>
      <c r="F5" s="137">
        <v>-19998055.933862921</v>
      </c>
      <c r="G5" s="137"/>
      <c r="H5" s="137"/>
      <c r="I5" s="137"/>
      <c r="J5" s="137"/>
      <c r="K5" s="137"/>
      <c r="L5" s="137"/>
      <c r="M5" s="137"/>
      <c r="N5" s="138"/>
      <c r="O5" s="138"/>
      <c r="P5" s="138">
        <v>-149.40198424831033</v>
      </c>
      <c r="Q5" s="138">
        <v>463.07265292108059</v>
      </c>
      <c r="R5" s="138">
        <v>-2056.2129028439522</v>
      </c>
      <c r="S5" s="138"/>
      <c r="T5" s="138"/>
      <c r="U5" s="138"/>
      <c r="V5" s="138"/>
      <c r="W5" s="138"/>
      <c r="X5" s="138"/>
      <c r="Y5" s="138"/>
      <c r="Z5" s="138"/>
      <c r="AA5" s="138"/>
      <c r="AB5" s="138">
        <v>-151.56248209252956</v>
      </c>
      <c r="AC5" s="138">
        <v>470.95766107738018</v>
      </c>
      <c r="AD5" s="138">
        <v>-2097.562264207751</v>
      </c>
      <c r="AE5" s="138"/>
      <c r="AF5" s="138"/>
      <c r="AG5" s="138"/>
      <c r="AH5" s="138"/>
      <c r="AI5" s="138"/>
      <c r="AJ5" s="138"/>
      <c r="AK5" s="138"/>
      <c r="AM5" s="55" t="s">
        <v>41</v>
      </c>
      <c r="AN5" s="55" t="s">
        <v>40</v>
      </c>
      <c r="AP5" s="138">
        <v>3639010.8298882842</v>
      </c>
      <c r="AQ5" s="138">
        <v>-5440251.8619596921</v>
      </c>
      <c r="AR5" s="138">
        <v>19901255.54274768</v>
      </c>
      <c r="AS5" s="138"/>
      <c r="AT5" s="138"/>
      <c r="AU5" s="138"/>
      <c r="AV5" s="138"/>
      <c r="AW5" s="138"/>
      <c r="AX5" s="138"/>
      <c r="AY5" s="138"/>
      <c r="AZ5" s="138"/>
      <c r="BA5" s="138"/>
      <c r="BB5" s="138">
        <v>146.24715167656541</v>
      </c>
      <c r="BC5" s="138">
        <v>-448.16508165746927</v>
      </c>
      <c r="BD5" s="138">
        <v>2018.3409074991939</v>
      </c>
      <c r="BE5" s="138"/>
      <c r="BF5" s="138"/>
      <c r="BG5" s="138"/>
      <c r="BH5" s="138"/>
      <c r="BI5" s="138"/>
      <c r="BJ5" s="138"/>
      <c r="BK5" s="138"/>
      <c r="BL5" s="138"/>
      <c r="BM5" s="138"/>
      <c r="BN5" s="138">
        <v>148.35648232325909</v>
      </c>
      <c r="BO5" s="138">
        <v>-455.76876991987228</v>
      </c>
      <c r="BP5" s="138">
        <v>2058.6989644803111</v>
      </c>
      <c r="BQ5" s="138"/>
      <c r="BR5" s="138"/>
      <c r="BS5" s="138"/>
      <c r="BT5" s="138"/>
      <c r="BU5" s="138"/>
      <c r="BV5" s="138"/>
      <c r="BW5" s="138"/>
    </row>
    <row r="6" spans="1:75">
      <c r="A6" s="55" t="s">
        <v>50</v>
      </c>
      <c r="B6" s="55" t="s">
        <v>49</v>
      </c>
      <c r="C6" s="4"/>
      <c r="D6" s="137">
        <v>-3655840.9145846968</v>
      </c>
      <c r="E6" s="137">
        <v>5582868.0689260326</v>
      </c>
      <c r="F6" s="137">
        <v>-19998055.933862921</v>
      </c>
      <c r="G6" s="137"/>
      <c r="H6" s="137"/>
      <c r="I6" s="137"/>
      <c r="J6" s="137"/>
      <c r="K6" s="137"/>
      <c r="L6" s="137"/>
      <c r="M6" s="137"/>
      <c r="N6" s="139"/>
      <c r="O6" s="137"/>
      <c r="P6" s="137">
        <v>-149.40198424831033</v>
      </c>
      <c r="Q6" s="137">
        <v>463.07265292108059</v>
      </c>
      <c r="R6" s="137">
        <v>-2056.2129028439522</v>
      </c>
      <c r="S6" s="137"/>
      <c r="T6" s="137"/>
      <c r="U6" s="137"/>
      <c r="V6" s="137"/>
      <c r="W6" s="137"/>
      <c r="X6" s="137"/>
      <c r="Y6" s="137"/>
      <c r="Z6" s="139"/>
      <c r="AA6" s="137"/>
      <c r="AB6" s="137">
        <v>-151.56248209252956</v>
      </c>
      <c r="AC6" s="137">
        <v>470.95766107738018</v>
      </c>
      <c r="AD6" s="137">
        <v>-2097.562264207751</v>
      </c>
      <c r="AE6" s="137"/>
      <c r="AF6" s="137"/>
      <c r="AG6" s="137"/>
      <c r="AH6" s="137"/>
      <c r="AI6" s="137"/>
      <c r="AJ6" s="137"/>
      <c r="AK6" s="137"/>
      <c r="AM6" s="55" t="s">
        <v>42</v>
      </c>
      <c r="AN6" s="55" t="s">
        <v>40</v>
      </c>
      <c r="AP6" s="138">
        <v>3618477.5153547525</v>
      </c>
      <c r="AQ6" s="138">
        <v>-5515011.3954395019</v>
      </c>
      <c r="AR6" s="138">
        <v>19617963.648885489</v>
      </c>
      <c r="AS6" s="138"/>
      <c r="AT6" s="138"/>
      <c r="AU6" s="138"/>
      <c r="AV6" s="138"/>
      <c r="AW6" s="138"/>
      <c r="AX6" s="138"/>
      <c r="AY6" s="138"/>
      <c r="AZ6" s="138"/>
      <c r="BA6" s="138"/>
      <c r="BB6" s="138">
        <v>145.64273454993963</v>
      </c>
      <c r="BC6" s="138">
        <v>-450.17177258059377</v>
      </c>
      <c r="BD6" s="138">
        <v>1989.6100758165121</v>
      </c>
      <c r="BE6" s="138"/>
      <c r="BF6" s="138"/>
      <c r="BG6" s="138"/>
      <c r="BH6" s="138"/>
      <c r="BI6" s="138"/>
      <c r="BJ6" s="138"/>
      <c r="BK6" s="138"/>
      <c r="BL6" s="138"/>
      <c r="BM6" s="138"/>
      <c r="BN6" s="138">
        <v>147.7434882558882</v>
      </c>
      <c r="BO6" s="138">
        <v>-457.80351727083325</v>
      </c>
      <c r="BP6" s="138">
        <v>2029.393641401082</v>
      </c>
      <c r="BQ6" s="138"/>
      <c r="BR6" s="138"/>
      <c r="BS6" s="138"/>
      <c r="BT6" s="138"/>
      <c r="BU6" s="138"/>
      <c r="BV6" s="138"/>
      <c r="BW6" s="138"/>
    </row>
    <row r="7" spans="1:75">
      <c r="A7" s="55" t="s">
        <v>51</v>
      </c>
      <c r="B7" s="55" t="s">
        <v>49</v>
      </c>
      <c r="D7" s="138">
        <v>-1327857.3537967168</v>
      </c>
      <c r="E7" s="138">
        <v>8660593.726495862</v>
      </c>
      <c r="F7" s="138">
        <v>11127283.37070905</v>
      </c>
      <c r="G7" s="138"/>
      <c r="H7" s="138"/>
      <c r="I7" s="138"/>
      <c r="J7" s="138"/>
      <c r="K7" s="138"/>
      <c r="L7" s="138"/>
      <c r="M7" s="138"/>
      <c r="N7" s="138"/>
      <c r="O7" s="138"/>
      <c r="P7" s="138">
        <v>-2461.8177073301345</v>
      </c>
      <c r="Q7" s="138">
        <v>6114.4960137816961</v>
      </c>
      <c r="R7" s="138">
        <v>-13813.247561800181</v>
      </c>
      <c r="S7" s="138"/>
      <c r="T7" s="138"/>
      <c r="U7" s="138"/>
      <c r="V7" s="138"/>
      <c r="W7" s="138"/>
      <c r="X7" s="138"/>
      <c r="Y7" s="138"/>
      <c r="Z7" s="138"/>
      <c r="AA7" s="138"/>
      <c r="AB7" s="138">
        <v>-2552.9623530147369</v>
      </c>
      <c r="AC7" s="138">
        <v>6180.1560328720952</v>
      </c>
      <c r="AD7" s="138">
        <v>-14551.023743387541</v>
      </c>
      <c r="AE7" s="138"/>
      <c r="AF7" s="138"/>
      <c r="AG7" s="138"/>
      <c r="AH7" s="138"/>
      <c r="AI7" s="138"/>
      <c r="AJ7" s="138"/>
      <c r="AK7" s="138"/>
      <c r="AM7" s="55" t="s">
        <v>43</v>
      </c>
      <c r="AN7" s="55" t="s">
        <v>40</v>
      </c>
      <c r="AP7" s="138">
        <v>1299306.9420621032</v>
      </c>
      <c r="AQ7" s="138">
        <v>-8519967.9539218768</v>
      </c>
      <c r="AR7" s="138">
        <v>-11479863.9273271</v>
      </c>
      <c r="AS7" s="138"/>
      <c r="AT7" s="138"/>
      <c r="AU7" s="138"/>
      <c r="AV7" s="138"/>
      <c r="AW7" s="138"/>
      <c r="AX7" s="138"/>
      <c r="AY7" s="138"/>
      <c r="AZ7" s="138"/>
      <c r="BA7" s="138"/>
      <c r="BB7" s="138">
        <v>-2327.7915755850845</v>
      </c>
      <c r="BC7" s="138">
        <v>5127.9051871137854</v>
      </c>
      <c r="BD7" s="138">
        <v>-16094.26141993515</v>
      </c>
      <c r="BE7" s="138"/>
      <c r="BF7" s="138"/>
      <c r="BG7" s="138"/>
      <c r="BH7" s="138"/>
      <c r="BI7" s="138"/>
      <c r="BJ7" s="138"/>
      <c r="BK7" s="138"/>
      <c r="BL7" s="138"/>
      <c r="BM7" s="138"/>
      <c r="BN7" s="138">
        <v>-2313.7772283509257</v>
      </c>
      <c r="BO7" s="138">
        <v>5275.9984842135527</v>
      </c>
      <c r="BP7" s="138">
        <v>-16097.19031523308</v>
      </c>
      <c r="BQ7" s="138"/>
      <c r="BR7" s="138"/>
      <c r="BS7" s="138"/>
      <c r="BT7" s="138"/>
      <c r="BU7" s="138"/>
      <c r="BV7" s="138"/>
      <c r="BW7" s="138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P29"/>
  <sheetViews>
    <sheetView workbookViewId="0">
      <selection activeCell="R10" sqref="R10"/>
    </sheetView>
  </sheetViews>
  <sheetFormatPr defaultRowHeight="17"/>
  <cols>
    <col min="1" max="12" width="10.7265625" customWidth="1"/>
    <col min="15" max="15" width="15.54296875" customWidth="1"/>
    <col min="16" max="16" width="17.54296875" customWidth="1"/>
  </cols>
  <sheetData>
    <row r="1" spans="1:16">
      <c r="A1" s="55"/>
      <c r="B1" s="55" t="s">
        <v>15</v>
      </c>
      <c r="C1" s="55">
        <v>0.03</v>
      </c>
      <c r="D1" s="55"/>
      <c r="E1" s="55"/>
      <c r="F1" s="55"/>
      <c r="G1" s="55"/>
      <c r="H1" s="55"/>
      <c r="I1" s="55"/>
      <c r="J1" s="55"/>
      <c r="K1" s="55"/>
      <c r="L1" s="55"/>
    </row>
    <row r="2" spans="1:16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</row>
    <row r="3" spans="1:16" ht="17.5" thickBot="1">
      <c r="A3" s="55"/>
      <c r="B3" s="55"/>
      <c r="C3" s="61">
        <v>1</v>
      </c>
      <c r="D3" s="61">
        <v>2</v>
      </c>
      <c r="E3" s="61">
        <v>3</v>
      </c>
      <c r="F3" s="61">
        <v>4</v>
      </c>
      <c r="G3" s="61">
        <v>5</v>
      </c>
      <c r="H3" s="61">
        <v>6</v>
      </c>
      <c r="I3" s="61">
        <v>7</v>
      </c>
      <c r="J3" s="61">
        <v>8</v>
      </c>
      <c r="K3" s="61">
        <v>9</v>
      </c>
      <c r="L3" s="61">
        <v>10</v>
      </c>
    </row>
    <row r="4" spans="1:16" ht="17.5" thickBot="1">
      <c r="A4" s="55"/>
      <c r="B4" s="55"/>
      <c r="C4" s="62">
        <v>0.25</v>
      </c>
      <c r="D4" s="62">
        <v>0.5</v>
      </c>
      <c r="E4" s="62">
        <v>1</v>
      </c>
      <c r="F4" s="62">
        <v>2</v>
      </c>
      <c r="G4" s="62">
        <v>3</v>
      </c>
      <c r="H4" s="62">
        <v>5</v>
      </c>
      <c r="I4" s="62">
        <v>10</v>
      </c>
      <c r="J4" s="62">
        <v>15</v>
      </c>
      <c r="K4" s="62">
        <v>20</v>
      </c>
      <c r="L4" s="62">
        <v>30</v>
      </c>
      <c r="O4" s="55"/>
      <c r="P4" s="141" t="s">
        <v>54</v>
      </c>
    </row>
    <row r="5" spans="1:16">
      <c r="A5" s="61">
        <v>1</v>
      </c>
      <c r="B5" s="62">
        <v>0.25</v>
      </c>
      <c r="C5" s="63">
        <f>MAX(0.4, EXP(-theta*ABS(B$5-C$4)/MIN(B$5,C$4)))</f>
        <v>1</v>
      </c>
      <c r="D5" s="64">
        <f t="shared" ref="D5:L14" si="0">MAX(0.4, EXP(-theta*ABS($B5-D$4)/MIN($B5,D$4)))</f>
        <v>0.97044553354850815</v>
      </c>
      <c r="E5" s="64">
        <f t="shared" si="0"/>
        <v>0.91393118527122819</v>
      </c>
      <c r="F5" s="64">
        <f t="shared" si="0"/>
        <v>0.81058424597018708</v>
      </c>
      <c r="G5" s="64">
        <f t="shared" si="0"/>
        <v>0.71892373343192617</v>
      </c>
      <c r="H5" s="64">
        <f t="shared" si="0"/>
        <v>0.56552543869953709</v>
      </c>
      <c r="I5" s="64">
        <f t="shared" si="0"/>
        <v>0.4</v>
      </c>
      <c r="J5" s="64">
        <f t="shared" si="0"/>
        <v>0.4</v>
      </c>
      <c r="K5" s="64">
        <f t="shared" si="0"/>
        <v>0.4</v>
      </c>
      <c r="L5" s="65">
        <f t="shared" si="0"/>
        <v>0.4</v>
      </c>
      <c r="O5" s="144" t="s">
        <v>57</v>
      </c>
      <c r="P5" s="142">
        <f>TBondCurve!N2</f>
        <v>-8992868.0820603296</v>
      </c>
    </row>
    <row r="6" spans="1:16">
      <c r="A6" s="61">
        <v>2</v>
      </c>
      <c r="B6" s="62">
        <v>0.5</v>
      </c>
      <c r="C6" s="66">
        <f t="shared" ref="C6:C14" si="1">MAX(0.4, EXP(-theta*ABS($B6-$C5)/MIN($B6,$C5)))</f>
        <v>0.97044553354850815</v>
      </c>
      <c r="D6" s="67">
        <f t="shared" si="0"/>
        <v>1</v>
      </c>
      <c r="E6" s="68">
        <f t="shared" si="0"/>
        <v>0.97044553354850815</v>
      </c>
      <c r="F6" s="68">
        <f t="shared" si="0"/>
        <v>0.91393118527122819</v>
      </c>
      <c r="G6" s="68">
        <f t="shared" si="0"/>
        <v>0.86070797642505781</v>
      </c>
      <c r="H6" s="68">
        <f t="shared" si="0"/>
        <v>0.76337949433685315</v>
      </c>
      <c r="I6" s="68">
        <f t="shared" si="0"/>
        <v>0.56552543869953709</v>
      </c>
      <c r="J6" s="68">
        <f t="shared" si="0"/>
        <v>0.418951549247639</v>
      </c>
      <c r="K6" s="68">
        <f t="shared" si="0"/>
        <v>0.4</v>
      </c>
      <c r="L6" s="69">
        <f t="shared" si="0"/>
        <v>0.4</v>
      </c>
      <c r="O6" s="87" t="s">
        <v>55</v>
      </c>
      <c r="P6" s="140">
        <f>SwapCurve!N2</f>
        <v>-75941758.008697838</v>
      </c>
    </row>
    <row r="7" spans="1:16" ht="17.5" thickBot="1">
      <c r="A7" s="61">
        <v>3</v>
      </c>
      <c r="B7" s="62">
        <v>1</v>
      </c>
      <c r="C7" s="66">
        <f t="shared" si="1"/>
        <v>0.99908678121970407</v>
      </c>
      <c r="D7" s="68">
        <f t="shared" si="0"/>
        <v>0.97044553354850815</v>
      </c>
      <c r="E7" s="67">
        <f t="shared" si="0"/>
        <v>1</v>
      </c>
      <c r="F7" s="68">
        <f t="shared" si="0"/>
        <v>0.97044553354850815</v>
      </c>
      <c r="G7" s="68">
        <f t="shared" si="0"/>
        <v>0.94176453358424872</v>
      </c>
      <c r="H7" s="68">
        <f t="shared" si="0"/>
        <v>0.88692043671715748</v>
      </c>
      <c r="I7" s="68">
        <f t="shared" si="0"/>
        <v>0.76337949433685315</v>
      </c>
      <c r="J7" s="68">
        <f t="shared" si="0"/>
        <v>0.65704681981505675</v>
      </c>
      <c r="K7" s="68">
        <f t="shared" si="0"/>
        <v>0.56552543869953709</v>
      </c>
      <c r="L7" s="69">
        <f t="shared" si="0"/>
        <v>0.418951549247639</v>
      </c>
      <c r="O7" s="145" t="s">
        <v>56</v>
      </c>
      <c r="P7" s="97">
        <f>FXImpCurve!AZ2</f>
        <v>263016.27352062619</v>
      </c>
    </row>
    <row r="8" spans="1:16" ht="17.5" thickBot="1">
      <c r="A8" s="61">
        <v>4</v>
      </c>
      <c r="B8" s="62">
        <v>2</v>
      </c>
      <c r="C8" s="66">
        <f t="shared" si="1"/>
        <v>0.97039231265908577</v>
      </c>
      <c r="D8" s="68">
        <f t="shared" si="0"/>
        <v>0.91393118527122819</v>
      </c>
      <c r="E8" s="68">
        <f t="shared" si="0"/>
        <v>0.97044553354850815</v>
      </c>
      <c r="F8" s="67">
        <f t="shared" si="0"/>
        <v>1</v>
      </c>
      <c r="G8" s="68">
        <f t="shared" si="0"/>
        <v>0.98511193960306265</v>
      </c>
      <c r="H8" s="68">
        <f t="shared" si="0"/>
        <v>0.95599748183309996</v>
      </c>
      <c r="I8" s="68">
        <f t="shared" si="0"/>
        <v>0.88692043671715748</v>
      </c>
      <c r="J8" s="68">
        <f t="shared" si="0"/>
        <v>0.82283465805601841</v>
      </c>
      <c r="K8" s="68">
        <f t="shared" si="0"/>
        <v>0.76337949433685315</v>
      </c>
      <c r="L8" s="69">
        <f t="shared" si="0"/>
        <v>0.65704681981505675</v>
      </c>
      <c r="O8" s="146" t="s">
        <v>58</v>
      </c>
      <c r="P8" s="143">
        <f>SUM(P5:P7)</f>
        <v>-84671609.817237541</v>
      </c>
    </row>
    <row r="9" spans="1:16">
      <c r="A9" s="61">
        <v>5</v>
      </c>
      <c r="B9" s="62">
        <v>3</v>
      </c>
      <c r="C9" s="66">
        <f t="shared" si="1"/>
        <v>0.9391820008776941</v>
      </c>
      <c r="D9" s="68">
        <f t="shared" si="0"/>
        <v>0.86070797642505781</v>
      </c>
      <c r="E9" s="68">
        <f t="shared" si="0"/>
        <v>0.94176453358424872</v>
      </c>
      <c r="F9" s="68">
        <f t="shared" si="0"/>
        <v>0.98511193960306265</v>
      </c>
      <c r="G9" s="67">
        <f t="shared" si="0"/>
        <v>1</v>
      </c>
      <c r="H9" s="68">
        <f t="shared" si="0"/>
        <v>0.98019867330675525</v>
      </c>
      <c r="I9" s="68">
        <f t="shared" si="0"/>
        <v>0.93239381990594827</v>
      </c>
      <c r="J9" s="68">
        <f t="shared" si="0"/>
        <v>0.88692043671715748</v>
      </c>
      <c r="K9" s="68">
        <f t="shared" si="0"/>
        <v>0.8436648165963837</v>
      </c>
      <c r="L9" s="69">
        <f t="shared" si="0"/>
        <v>0.76337949433685326</v>
      </c>
    </row>
    <row r="10" spans="1:16">
      <c r="A10" s="61">
        <v>6</v>
      </c>
      <c r="B10" s="62">
        <v>5</v>
      </c>
      <c r="C10" s="66">
        <f t="shared" si="1"/>
        <v>0.87834708291788832</v>
      </c>
      <c r="D10" s="68">
        <f t="shared" si="0"/>
        <v>0.76337949433685315</v>
      </c>
      <c r="E10" s="68">
        <f t="shared" si="0"/>
        <v>0.88692043671715748</v>
      </c>
      <c r="F10" s="68">
        <f t="shared" si="0"/>
        <v>0.95599748183309996</v>
      </c>
      <c r="G10" s="68">
        <f t="shared" si="0"/>
        <v>0.98019867330675525</v>
      </c>
      <c r="H10" s="67">
        <f t="shared" si="0"/>
        <v>1</v>
      </c>
      <c r="I10" s="68">
        <f t="shared" si="0"/>
        <v>0.97044553354850815</v>
      </c>
      <c r="J10" s="68">
        <f t="shared" si="0"/>
        <v>0.94176453358424872</v>
      </c>
      <c r="K10" s="68">
        <f t="shared" si="0"/>
        <v>0.91393118527122819</v>
      </c>
      <c r="L10" s="69">
        <f t="shared" si="0"/>
        <v>0.86070797642505781</v>
      </c>
    </row>
    <row r="11" spans="1:16">
      <c r="A11" s="61">
        <v>7</v>
      </c>
      <c r="B11" s="62">
        <v>10</v>
      </c>
      <c r="C11" s="66">
        <f t="shared" si="1"/>
        <v>0.73231053229201482</v>
      </c>
      <c r="D11" s="68">
        <f t="shared" si="0"/>
        <v>0.56552543869953709</v>
      </c>
      <c r="E11" s="68">
        <f t="shared" si="0"/>
        <v>0.76337949433685315</v>
      </c>
      <c r="F11" s="68">
        <f t="shared" si="0"/>
        <v>0.88692043671715748</v>
      </c>
      <c r="G11" s="68">
        <f t="shared" si="0"/>
        <v>0.93239381990594827</v>
      </c>
      <c r="H11" s="68">
        <f t="shared" si="0"/>
        <v>0.97044553354850815</v>
      </c>
      <c r="I11" s="67">
        <f t="shared" si="0"/>
        <v>1</v>
      </c>
      <c r="J11" s="68">
        <f t="shared" si="0"/>
        <v>0.98511193960306265</v>
      </c>
      <c r="K11" s="68">
        <f t="shared" si="0"/>
        <v>0.97044553354850815</v>
      </c>
      <c r="L11" s="69">
        <f t="shared" si="0"/>
        <v>0.94176453358424872</v>
      </c>
    </row>
    <row r="12" spans="1:16">
      <c r="A12" s="61">
        <v>8</v>
      </c>
      <c r="B12" s="62">
        <v>15</v>
      </c>
      <c r="C12" s="66">
        <f t="shared" si="1"/>
        <v>0.55738815465136704</v>
      </c>
      <c r="D12" s="68">
        <f t="shared" si="0"/>
        <v>0.418951549247639</v>
      </c>
      <c r="E12" s="68">
        <f t="shared" si="0"/>
        <v>0.65704681981505675</v>
      </c>
      <c r="F12" s="68">
        <f t="shared" si="0"/>
        <v>0.82283465805601841</v>
      </c>
      <c r="G12" s="68">
        <f t="shared" si="0"/>
        <v>0.88692043671715748</v>
      </c>
      <c r="H12" s="68">
        <f t="shared" si="0"/>
        <v>0.94176453358424872</v>
      </c>
      <c r="I12" s="68">
        <f t="shared" si="0"/>
        <v>0.98511193960306265</v>
      </c>
      <c r="J12" s="67">
        <f t="shared" si="0"/>
        <v>1</v>
      </c>
      <c r="K12" s="68">
        <f t="shared" si="0"/>
        <v>0.99004983374916811</v>
      </c>
      <c r="L12" s="69">
        <f t="shared" si="0"/>
        <v>0.97044553354850815</v>
      </c>
    </row>
    <row r="13" spans="1:16">
      <c r="A13" s="61">
        <v>9</v>
      </c>
      <c r="B13" s="62">
        <v>20</v>
      </c>
      <c r="C13" s="66">
        <f t="shared" si="1"/>
        <v>0.4</v>
      </c>
      <c r="D13" s="68">
        <f t="shared" si="0"/>
        <v>0.4</v>
      </c>
      <c r="E13" s="68">
        <f t="shared" si="0"/>
        <v>0.56552543869953709</v>
      </c>
      <c r="F13" s="68">
        <f t="shared" si="0"/>
        <v>0.76337949433685315</v>
      </c>
      <c r="G13" s="68">
        <f t="shared" si="0"/>
        <v>0.8436648165963837</v>
      </c>
      <c r="H13" s="68">
        <f t="shared" si="0"/>
        <v>0.91393118527122819</v>
      </c>
      <c r="I13" s="68">
        <f t="shared" si="0"/>
        <v>0.97044553354850815</v>
      </c>
      <c r="J13" s="68">
        <f t="shared" si="0"/>
        <v>0.99004983374916811</v>
      </c>
      <c r="K13" s="67">
        <f t="shared" si="0"/>
        <v>1</v>
      </c>
      <c r="L13" s="69">
        <f t="shared" si="0"/>
        <v>0.98511193960306265</v>
      </c>
    </row>
    <row r="14" spans="1:16" ht="17.5" thickBot="1">
      <c r="A14" s="61">
        <v>10</v>
      </c>
      <c r="B14" s="62">
        <v>30</v>
      </c>
      <c r="C14" s="70">
        <f t="shared" si="1"/>
        <v>0.4</v>
      </c>
      <c r="D14" s="71">
        <f t="shared" si="0"/>
        <v>0.4</v>
      </c>
      <c r="E14" s="71">
        <f t="shared" si="0"/>
        <v>0.418951549247639</v>
      </c>
      <c r="F14" s="71">
        <f t="shared" si="0"/>
        <v>0.65704681981505675</v>
      </c>
      <c r="G14" s="71">
        <f t="shared" si="0"/>
        <v>0.76337949433685326</v>
      </c>
      <c r="H14" s="71">
        <f t="shared" si="0"/>
        <v>0.86070797642505781</v>
      </c>
      <c r="I14" s="71">
        <f t="shared" si="0"/>
        <v>0.94176453358424872</v>
      </c>
      <c r="J14" s="71">
        <f t="shared" si="0"/>
        <v>0.97044553354850815</v>
      </c>
      <c r="K14" s="71">
        <f t="shared" si="0"/>
        <v>0.98511193960306265</v>
      </c>
      <c r="L14" s="72">
        <f t="shared" si="0"/>
        <v>1</v>
      </c>
    </row>
    <row r="15" spans="1:16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</row>
    <row r="16" spans="1:16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</row>
    <row r="17" spans="1:12">
      <c r="A17" s="55"/>
      <c r="B17" s="55" t="s">
        <v>16</v>
      </c>
      <c r="C17" s="57">
        <v>0.999</v>
      </c>
      <c r="D17" s="55"/>
      <c r="E17" s="55"/>
      <c r="F17" s="55"/>
      <c r="G17" s="55"/>
      <c r="H17" s="55"/>
      <c r="I17" s="55"/>
      <c r="J17" s="55"/>
      <c r="K17" s="55"/>
      <c r="L17" s="55"/>
    </row>
    <row r="18" spans="1:12">
      <c r="A18" s="55"/>
      <c r="B18" s="55"/>
      <c r="C18" s="61">
        <v>1</v>
      </c>
      <c r="D18" s="61">
        <v>2</v>
      </c>
      <c r="E18" s="61">
        <v>3</v>
      </c>
      <c r="F18" s="61">
        <v>4</v>
      </c>
      <c r="G18" s="61">
        <v>5</v>
      </c>
      <c r="H18" s="61">
        <v>6</v>
      </c>
      <c r="I18" s="61">
        <v>7</v>
      </c>
      <c r="J18" s="61">
        <v>8</v>
      </c>
      <c r="K18" s="61">
        <v>9</v>
      </c>
      <c r="L18" s="61">
        <v>10</v>
      </c>
    </row>
    <row r="19" spans="1:12" ht="17.5" thickBot="1">
      <c r="A19" s="55"/>
      <c r="B19" s="55"/>
      <c r="C19" s="62">
        <v>0.25</v>
      </c>
      <c r="D19" s="62">
        <v>0.5</v>
      </c>
      <c r="E19" s="62">
        <v>1</v>
      </c>
      <c r="F19" s="62">
        <v>2</v>
      </c>
      <c r="G19" s="62">
        <v>3</v>
      </c>
      <c r="H19" s="62">
        <v>5</v>
      </c>
      <c r="I19" s="62">
        <v>10</v>
      </c>
      <c r="J19" s="62">
        <v>15</v>
      </c>
      <c r="K19" s="62">
        <v>20</v>
      </c>
      <c r="L19" s="62">
        <v>30</v>
      </c>
    </row>
    <row r="20" spans="1:12">
      <c r="A20" s="61">
        <v>1</v>
      </c>
      <c r="B20" s="62">
        <v>0.25</v>
      </c>
      <c r="C20" s="73">
        <f t="shared" ref="C20:L20" si="2">cross*C5</f>
        <v>0.999</v>
      </c>
      <c r="D20" s="64">
        <f t="shared" si="2"/>
        <v>0.96947508801495963</v>
      </c>
      <c r="E20" s="64">
        <f t="shared" si="2"/>
        <v>0.91301725408595691</v>
      </c>
      <c r="F20" s="64">
        <f t="shared" si="2"/>
        <v>0.80977366172421694</v>
      </c>
      <c r="G20" s="64">
        <f t="shared" si="2"/>
        <v>0.71820480969849421</v>
      </c>
      <c r="H20" s="64">
        <f t="shared" si="2"/>
        <v>0.5649599132608375</v>
      </c>
      <c r="I20" s="64">
        <f t="shared" si="2"/>
        <v>0.39960000000000001</v>
      </c>
      <c r="J20" s="64">
        <f t="shared" si="2"/>
        <v>0.39960000000000001</v>
      </c>
      <c r="K20" s="64">
        <f t="shared" si="2"/>
        <v>0.39960000000000001</v>
      </c>
      <c r="L20" s="65">
        <f t="shared" si="2"/>
        <v>0.39960000000000001</v>
      </c>
    </row>
    <row r="21" spans="1:12">
      <c r="A21" s="61">
        <v>2</v>
      </c>
      <c r="B21" s="62">
        <v>0.5</v>
      </c>
      <c r="C21" s="66">
        <f t="shared" ref="C21:L21" si="3">cross*C6</f>
        <v>0.96947508801495963</v>
      </c>
      <c r="D21" s="68">
        <f t="shared" si="3"/>
        <v>0.999</v>
      </c>
      <c r="E21" s="68">
        <f t="shared" si="3"/>
        <v>0.96947508801495963</v>
      </c>
      <c r="F21" s="68">
        <f t="shared" si="3"/>
        <v>0.91301725408595691</v>
      </c>
      <c r="G21" s="68">
        <f t="shared" si="3"/>
        <v>0.8598472684486328</v>
      </c>
      <c r="H21" s="68">
        <f t="shared" si="3"/>
        <v>0.76261611484251635</v>
      </c>
      <c r="I21" s="68">
        <f t="shared" si="3"/>
        <v>0.5649599132608375</v>
      </c>
      <c r="J21" s="68">
        <f t="shared" si="3"/>
        <v>0.41853259769839135</v>
      </c>
      <c r="K21" s="68">
        <f t="shared" si="3"/>
        <v>0.39960000000000001</v>
      </c>
      <c r="L21" s="69">
        <f t="shared" si="3"/>
        <v>0.39960000000000001</v>
      </c>
    </row>
    <row r="22" spans="1:12">
      <c r="A22" s="61">
        <v>3</v>
      </c>
      <c r="B22" s="62">
        <v>1</v>
      </c>
      <c r="C22" s="66">
        <f t="shared" ref="C22:L22" si="4">cross*C7</f>
        <v>0.99808769443848433</v>
      </c>
      <c r="D22" s="68">
        <f t="shared" si="4"/>
        <v>0.96947508801495963</v>
      </c>
      <c r="E22" s="68">
        <f t="shared" si="4"/>
        <v>0.999</v>
      </c>
      <c r="F22" s="68">
        <f t="shared" si="4"/>
        <v>0.96947508801495963</v>
      </c>
      <c r="G22" s="68">
        <f t="shared" si="4"/>
        <v>0.94082276905066442</v>
      </c>
      <c r="H22" s="68">
        <f t="shared" si="4"/>
        <v>0.88603351628044036</v>
      </c>
      <c r="I22" s="68">
        <f t="shared" si="4"/>
        <v>0.76261611484251635</v>
      </c>
      <c r="J22" s="68">
        <f t="shared" si="4"/>
        <v>0.6563897729952417</v>
      </c>
      <c r="K22" s="68">
        <f t="shared" si="4"/>
        <v>0.5649599132608375</v>
      </c>
      <c r="L22" s="69">
        <f t="shared" si="4"/>
        <v>0.41853259769839135</v>
      </c>
    </row>
    <row r="23" spans="1:12">
      <c r="A23" s="61">
        <v>4</v>
      </c>
      <c r="B23" s="62">
        <v>2</v>
      </c>
      <c r="C23" s="66">
        <f t="shared" ref="C23:L23" si="5">cross*C8</f>
        <v>0.96942192034642671</v>
      </c>
      <c r="D23" s="68">
        <f t="shared" si="5"/>
        <v>0.91301725408595691</v>
      </c>
      <c r="E23" s="68">
        <f t="shared" si="5"/>
        <v>0.96947508801495963</v>
      </c>
      <c r="F23" s="68">
        <f t="shared" si="5"/>
        <v>0.999</v>
      </c>
      <c r="G23" s="68">
        <f t="shared" si="5"/>
        <v>0.9841268276634596</v>
      </c>
      <c r="H23" s="68">
        <f t="shared" si="5"/>
        <v>0.9550414843512669</v>
      </c>
      <c r="I23" s="68">
        <f t="shared" si="5"/>
        <v>0.88603351628044036</v>
      </c>
      <c r="J23" s="68">
        <f t="shared" si="5"/>
        <v>0.82201182339796242</v>
      </c>
      <c r="K23" s="68">
        <f t="shared" si="5"/>
        <v>0.76261611484251635</v>
      </c>
      <c r="L23" s="69">
        <f t="shared" si="5"/>
        <v>0.6563897729952417</v>
      </c>
    </row>
    <row r="24" spans="1:12">
      <c r="A24" s="61">
        <v>5</v>
      </c>
      <c r="B24" s="62">
        <v>3</v>
      </c>
      <c r="C24" s="66">
        <f t="shared" ref="C24:L24" si="6">cross*C9</f>
        <v>0.93824281887681638</v>
      </c>
      <c r="D24" s="68">
        <f t="shared" si="6"/>
        <v>0.8598472684486328</v>
      </c>
      <c r="E24" s="68">
        <f t="shared" si="6"/>
        <v>0.94082276905066442</v>
      </c>
      <c r="F24" s="68">
        <f t="shared" si="6"/>
        <v>0.9841268276634596</v>
      </c>
      <c r="G24" s="68">
        <f t="shared" si="6"/>
        <v>0.999</v>
      </c>
      <c r="H24" s="68">
        <f t="shared" si="6"/>
        <v>0.97921847463344847</v>
      </c>
      <c r="I24" s="68">
        <f t="shared" si="6"/>
        <v>0.93146142608604232</v>
      </c>
      <c r="J24" s="68">
        <f t="shared" si="6"/>
        <v>0.88603351628044036</v>
      </c>
      <c r="K24" s="68">
        <f t="shared" si="6"/>
        <v>0.84282115177978734</v>
      </c>
      <c r="L24" s="69">
        <f t="shared" si="6"/>
        <v>0.76261611484251646</v>
      </c>
    </row>
    <row r="25" spans="1:12">
      <c r="A25" s="61">
        <v>6</v>
      </c>
      <c r="B25" s="62">
        <v>5</v>
      </c>
      <c r="C25" s="66">
        <f t="shared" ref="C25:L25" si="7">cross*C10</f>
        <v>0.87746873583497043</v>
      </c>
      <c r="D25" s="68">
        <f t="shared" si="7"/>
        <v>0.76261611484251635</v>
      </c>
      <c r="E25" s="68">
        <f t="shared" si="7"/>
        <v>0.88603351628044036</v>
      </c>
      <c r="F25" s="68">
        <f t="shared" si="7"/>
        <v>0.9550414843512669</v>
      </c>
      <c r="G25" s="68">
        <f t="shared" si="7"/>
        <v>0.97921847463344847</v>
      </c>
      <c r="H25" s="68">
        <f t="shared" si="7"/>
        <v>0.999</v>
      </c>
      <c r="I25" s="68">
        <f t="shared" si="7"/>
        <v>0.96947508801495963</v>
      </c>
      <c r="J25" s="68">
        <f t="shared" si="7"/>
        <v>0.94082276905066442</v>
      </c>
      <c r="K25" s="68">
        <f t="shared" si="7"/>
        <v>0.91301725408595691</v>
      </c>
      <c r="L25" s="69">
        <f t="shared" si="7"/>
        <v>0.8598472684486328</v>
      </c>
    </row>
    <row r="26" spans="1:12">
      <c r="A26" s="61">
        <v>7</v>
      </c>
      <c r="B26" s="62">
        <v>10</v>
      </c>
      <c r="C26" s="66">
        <f t="shared" ref="C26:L26" si="8">cross*C11</f>
        <v>0.73157822175972276</v>
      </c>
      <c r="D26" s="68">
        <f t="shared" si="8"/>
        <v>0.5649599132608375</v>
      </c>
      <c r="E26" s="68">
        <f t="shared" si="8"/>
        <v>0.76261611484251635</v>
      </c>
      <c r="F26" s="68">
        <f t="shared" si="8"/>
        <v>0.88603351628044036</v>
      </c>
      <c r="G26" s="68">
        <f t="shared" si="8"/>
        <v>0.93146142608604232</v>
      </c>
      <c r="H26" s="68">
        <f t="shared" si="8"/>
        <v>0.96947508801495963</v>
      </c>
      <c r="I26" s="68">
        <f t="shared" si="8"/>
        <v>0.999</v>
      </c>
      <c r="J26" s="68">
        <f t="shared" si="8"/>
        <v>0.9841268276634596</v>
      </c>
      <c r="K26" s="68">
        <f t="shared" si="8"/>
        <v>0.96947508801495963</v>
      </c>
      <c r="L26" s="69">
        <f t="shared" si="8"/>
        <v>0.94082276905066442</v>
      </c>
    </row>
    <row r="27" spans="1:12">
      <c r="A27" s="61">
        <v>8</v>
      </c>
      <c r="B27" s="62">
        <v>15</v>
      </c>
      <c r="C27" s="66">
        <f t="shared" ref="C27:L27" si="9">cross*C12</f>
        <v>0.5568307664967157</v>
      </c>
      <c r="D27" s="68">
        <f t="shared" si="9"/>
        <v>0.41853259769839135</v>
      </c>
      <c r="E27" s="68">
        <f t="shared" si="9"/>
        <v>0.6563897729952417</v>
      </c>
      <c r="F27" s="68">
        <f t="shared" si="9"/>
        <v>0.82201182339796242</v>
      </c>
      <c r="G27" s="68">
        <f t="shared" si="9"/>
        <v>0.88603351628044036</v>
      </c>
      <c r="H27" s="68">
        <f t="shared" si="9"/>
        <v>0.94082276905066442</v>
      </c>
      <c r="I27" s="68">
        <f t="shared" si="9"/>
        <v>0.9841268276634596</v>
      </c>
      <c r="J27" s="68">
        <f t="shared" si="9"/>
        <v>0.999</v>
      </c>
      <c r="K27" s="68">
        <f t="shared" si="9"/>
        <v>0.98905978391541893</v>
      </c>
      <c r="L27" s="69">
        <f t="shared" si="9"/>
        <v>0.96947508801495963</v>
      </c>
    </row>
    <row r="28" spans="1:12">
      <c r="A28" s="61">
        <v>9</v>
      </c>
      <c r="B28" s="62">
        <v>20</v>
      </c>
      <c r="C28" s="66">
        <f t="shared" ref="C28:L28" si="10">cross*C13</f>
        <v>0.39960000000000001</v>
      </c>
      <c r="D28" s="68">
        <f t="shared" si="10"/>
        <v>0.39960000000000001</v>
      </c>
      <c r="E28" s="68">
        <f t="shared" si="10"/>
        <v>0.5649599132608375</v>
      </c>
      <c r="F28" s="68">
        <f t="shared" si="10"/>
        <v>0.76261611484251635</v>
      </c>
      <c r="G28" s="68">
        <f t="shared" si="10"/>
        <v>0.84282115177978734</v>
      </c>
      <c r="H28" s="68">
        <f t="shared" si="10"/>
        <v>0.91301725408595691</v>
      </c>
      <c r="I28" s="68">
        <f t="shared" si="10"/>
        <v>0.96947508801495963</v>
      </c>
      <c r="J28" s="68">
        <f t="shared" si="10"/>
        <v>0.98905978391541893</v>
      </c>
      <c r="K28" s="68">
        <f t="shared" si="10"/>
        <v>0.999</v>
      </c>
      <c r="L28" s="69">
        <f t="shared" si="10"/>
        <v>0.9841268276634596</v>
      </c>
    </row>
    <row r="29" spans="1:12" ht="17.5" thickBot="1">
      <c r="A29" s="61">
        <v>10</v>
      </c>
      <c r="B29" s="62">
        <v>30</v>
      </c>
      <c r="C29" s="70">
        <f t="shared" ref="C29:L29" si="11">cross*C14</f>
        <v>0.39960000000000001</v>
      </c>
      <c r="D29" s="71">
        <f t="shared" si="11"/>
        <v>0.39960000000000001</v>
      </c>
      <c r="E29" s="71">
        <f t="shared" si="11"/>
        <v>0.41853259769839135</v>
      </c>
      <c r="F29" s="71">
        <f t="shared" si="11"/>
        <v>0.6563897729952417</v>
      </c>
      <c r="G29" s="71">
        <f t="shared" si="11"/>
        <v>0.76261611484251646</v>
      </c>
      <c r="H29" s="71">
        <f t="shared" si="11"/>
        <v>0.8598472684486328</v>
      </c>
      <c r="I29" s="71">
        <f t="shared" si="11"/>
        <v>0.94082276905066442</v>
      </c>
      <c r="J29" s="71">
        <f t="shared" si="11"/>
        <v>0.96947508801495963</v>
      </c>
      <c r="K29" s="71">
        <f t="shared" si="11"/>
        <v>0.9841268276634596</v>
      </c>
      <c r="L29" s="74">
        <f t="shared" si="11"/>
        <v>0.999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1:BQ106"/>
  <sheetViews>
    <sheetView topLeftCell="AP1" zoomScale="80" zoomScaleNormal="80" workbookViewId="0">
      <selection activeCell="P22" sqref="P22"/>
    </sheetView>
  </sheetViews>
  <sheetFormatPr defaultColWidth="9.26953125" defaultRowHeight="15.5"/>
  <cols>
    <col min="1" max="1" width="3.26953125" style="5" customWidth="1"/>
    <col min="2" max="2" width="10.7265625" style="5" bestFit="1" customWidth="1"/>
    <col min="3" max="3" width="9.26953125" style="5" bestFit="1" customWidth="1"/>
    <col min="4" max="4" width="9.6328125" style="5" bestFit="1" customWidth="1"/>
    <col min="5" max="5" width="10.7265625" style="5" bestFit="1" customWidth="1"/>
    <col min="6" max="6" width="9.26953125" style="5" bestFit="1" customWidth="1"/>
    <col min="7" max="7" width="9.6328125" style="5" bestFit="1" customWidth="1"/>
    <col min="8" max="8" width="11.90625" style="5" bestFit="1" customWidth="1"/>
    <col min="9" max="9" width="9.6328125" style="5" bestFit="1" customWidth="1"/>
    <col min="10" max="10" width="11.90625" style="5" bestFit="1" customWidth="1"/>
    <col min="11" max="11" width="9.26953125" style="5" bestFit="1" customWidth="1"/>
    <col min="12" max="12" width="10.7265625" style="5" bestFit="1" customWidth="1"/>
    <col min="13" max="31" width="9.26953125" style="5" bestFit="1" customWidth="1"/>
    <col min="32" max="32" width="3.453125" style="5" customWidth="1"/>
    <col min="33" max="62" width="11.90625" style="5" bestFit="1" customWidth="1"/>
    <col min="63" max="63" width="4.36328125" style="5" customWidth="1"/>
    <col min="64" max="64" width="16.08984375" style="5" customWidth="1"/>
    <col min="65" max="65" width="9.26953125" style="5"/>
    <col min="66" max="66" width="13.90625" style="5" customWidth="1"/>
    <col min="67" max="67" width="14.81640625" style="5" customWidth="1"/>
    <col min="68" max="68" width="5" style="5" customWidth="1"/>
    <col min="69" max="16384" width="9.26953125" style="5"/>
  </cols>
  <sheetData>
    <row r="1" spans="2:64" ht="16" thickBot="1"/>
    <row r="2" spans="2:64" ht="16" thickBot="1">
      <c r="AG2" s="54" t="s">
        <v>6</v>
      </c>
    </row>
    <row r="3" spans="2:64" ht="16" thickBot="1">
      <c r="B3" s="6">
        <v>-1289583.0103579159</v>
      </c>
      <c r="C3" s="7">
        <v>-2.4496018886566171E-3</v>
      </c>
      <c r="D3" s="7">
        <v>-20596.949995756149</v>
      </c>
      <c r="E3" s="7">
        <v>-492242.95445188868</v>
      </c>
      <c r="F3" s="7">
        <v>-5.9572979807853678E-2</v>
      </c>
      <c r="G3" s="7">
        <v>-20197.626650854942</v>
      </c>
      <c r="H3" s="7">
        <v>-5245839.5390330814</v>
      </c>
      <c r="I3" s="7">
        <v>-42195.410498939447</v>
      </c>
      <c r="J3" s="7">
        <v>-1882212.5290493111</v>
      </c>
      <c r="K3" s="7">
        <v>0</v>
      </c>
      <c r="L3" s="8">
        <v>-75751779.007127717</v>
      </c>
      <c r="M3" s="8">
        <v>280.511037184624</v>
      </c>
      <c r="N3" s="8">
        <v>1470.1558178663261</v>
      </c>
      <c r="O3" s="8">
        <v>-16449.785142964683</v>
      </c>
      <c r="P3" s="8">
        <v>-59409.797171372928</v>
      </c>
      <c r="Q3" s="8">
        <v>-93358.024354481604</v>
      </c>
      <c r="R3" s="8">
        <v>-22512.061756365001</v>
      </c>
      <c r="S3" s="8">
        <v>0</v>
      </c>
      <c r="T3" s="8">
        <v>0</v>
      </c>
      <c r="U3" s="8">
        <v>0</v>
      </c>
      <c r="V3" s="9">
        <f>FXImpCurve!AP2</f>
        <v>145465.51988418738</v>
      </c>
      <c r="W3" s="9">
        <f>FXImpCurve!AQ2</f>
        <v>-331078.93059245823</v>
      </c>
      <c r="X3" s="9">
        <f>FXImpCurve!AR2</f>
        <v>448629.68422889704</v>
      </c>
      <c r="Y3" s="9">
        <f>FXImpCurve!AS2</f>
        <v>0</v>
      </c>
      <c r="Z3" s="9">
        <f>FXImpCurve!AT2</f>
        <v>0</v>
      </c>
      <c r="AA3" s="9">
        <f>FXImpCurve!AU2</f>
        <v>0</v>
      </c>
      <c r="AB3" s="9">
        <f>FXImpCurve!AV2</f>
        <v>0</v>
      </c>
      <c r="AC3" s="9">
        <f>FXImpCurve!AW2</f>
        <v>0</v>
      </c>
      <c r="AD3" s="9">
        <f>FXImpCurve!AX2</f>
        <v>0</v>
      </c>
      <c r="AE3" s="10">
        <f>FXImpCurve!AY2</f>
        <v>0</v>
      </c>
      <c r="AF3" s="11"/>
      <c r="AG3" s="12">
        <v>1</v>
      </c>
      <c r="AH3" s="13">
        <v>0.97044553354850815</v>
      </c>
      <c r="AI3" s="13">
        <v>0.91393118527122819</v>
      </c>
      <c r="AJ3" s="13">
        <v>0.81058424597018708</v>
      </c>
      <c r="AK3" s="13">
        <v>0.71892373343192617</v>
      </c>
      <c r="AL3" s="13">
        <v>0.56552543869953709</v>
      </c>
      <c r="AM3" s="13">
        <v>0.4</v>
      </c>
      <c r="AN3" s="13">
        <v>0.4</v>
      </c>
      <c r="AO3" s="13">
        <v>0.4</v>
      </c>
      <c r="AP3" s="13">
        <v>0.4</v>
      </c>
      <c r="AQ3" s="14">
        <v>0.999</v>
      </c>
      <c r="AR3" s="14">
        <v>0.96947508801495963</v>
      </c>
      <c r="AS3" s="14">
        <v>0.91301725408595691</v>
      </c>
      <c r="AT3" s="14">
        <v>0.80977366172421694</v>
      </c>
      <c r="AU3" s="14">
        <v>0.71820480969849421</v>
      </c>
      <c r="AV3" s="14">
        <v>0.5649599132608375</v>
      </c>
      <c r="AW3" s="14">
        <v>0.39960000000000001</v>
      </c>
      <c r="AX3" s="14">
        <v>0.39960000000000001</v>
      </c>
      <c r="AY3" s="14">
        <v>0.39960000000000001</v>
      </c>
      <c r="AZ3" s="14">
        <v>0.39960000000000001</v>
      </c>
      <c r="BA3" s="15">
        <v>0.999</v>
      </c>
      <c r="BB3" s="15">
        <v>0.96947508801495963</v>
      </c>
      <c r="BC3" s="15">
        <v>0.91301725408595691</v>
      </c>
      <c r="BD3" s="15">
        <v>0.80977366172421694</v>
      </c>
      <c r="BE3" s="15">
        <v>0.71820480969849421</v>
      </c>
      <c r="BF3" s="15">
        <v>0.5649599132608375</v>
      </c>
      <c r="BG3" s="15">
        <v>0.39960000000000001</v>
      </c>
      <c r="BH3" s="15">
        <v>0.39960000000000001</v>
      </c>
      <c r="BI3" s="15">
        <v>0.39960000000000001</v>
      </c>
      <c r="BJ3" s="16">
        <v>0.39960000000000001</v>
      </c>
      <c r="BL3" s="17">
        <v>-911872.89152704435</v>
      </c>
    </row>
    <row r="4" spans="2:64">
      <c r="AG4" s="18">
        <v>0.97044553354850815</v>
      </c>
      <c r="AH4" s="19">
        <v>1</v>
      </c>
      <c r="AI4" s="19">
        <v>0.97044553354850815</v>
      </c>
      <c r="AJ4" s="19">
        <v>0.91393118527122819</v>
      </c>
      <c r="AK4" s="19">
        <v>0.86070797642505781</v>
      </c>
      <c r="AL4" s="19">
        <v>0.76337949433685315</v>
      </c>
      <c r="AM4" s="19">
        <v>0.56552543869953709</v>
      </c>
      <c r="AN4" s="19">
        <v>0.418951549247639</v>
      </c>
      <c r="AO4" s="19">
        <v>0.4</v>
      </c>
      <c r="AP4" s="19">
        <v>0.4</v>
      </c>
      <c r="AQ4" s="20">
        <v>0.96947508801495963</v>
      </c>
      <c r="AR4" s="20">
        <v>0.999</v>
      </c>
      <c r="AS4" s="20">
        <v>0.96947508801495963</v>
      </c>
      <c r="AT4" s="20">
        <v>0.91301725408595691</v>
      </c>
      <c r="AU4" s="20">
        <v>0.8598472684486328</v>
      </c>
      <c r="AV4" s="20">
        <v>0.76261611484251635</v>
      </c>
      <c r="AW4" s="20">
        <v>0.5649599132608375</v>
      </c>
      <c r="AX4" s="20">
        <v>0.41853259769839135</v>
      </c>
      <c r="AY4" s="20">
        <v>0.39960000000000001</v>
      </c>
      <c r="AZ4" s="20">
        <v>0.39960000000000001</v>
      </c>
      <c r="BA4" s="21">
        <v>0.96947508801495963</v>
      </c>
      <c r="BB4" s="21">
        <v>0.999</v>
      </c>
      <c r="BC4" s="21">
        <v>0.96947508801495963</v>
      </c>
      <c r="BD4" s="21">
        <v>0.91301725408595691</v>
      </c>
      <c r="BE4" s="21">
        <v>0.8598472684486328</v>
      </c>
      <c r="BF4" s="21">
        <v>0.76261611484251635</v>
      </c>
      <c r="BG4" s="21">
        <v>0.5649599132608375</v>
      </c>
      <c r="BH4" s="21">
        <v>0.41853259769839135</v>
      </c>
      <c r="BI4" s="21">
        <v>0.39960000000000001</v>
      </c>
      <c r="BJ4" s="22">
        <v>0.39960000000000001</v>
      </c>
      <c r="BL4" s="23">
        <v>-1.7325779169418949E-3</v>
      </c>
    </row>
    <row r="5" spans="2:64">
      <c r="AG5" s="18">
        <v>0.99908678121970407</v>
      </c>
      <c r="AH5" s="19">
        <v>0.97044553354850815</v>
      </c>
      <c r="AI5" s="19">
        <v>1</v>
      </c>
      <c r="AJ5" s="19">
        <v>0.97044553354850815</v>
      </c>
      <c r="AK5" s="19">
        <v>0.94176453358424872</v>
      </c>
      <c r="AL5" s="19">
        <v>0.88692043671715748</v>
      </c>
      <c r="AM5" s="19">
        <v>0.76337949433685315</v>
      </c>
      <c r="AN5" s="19">
        <v>0.65704681981505675</v>
      </c>
      <c r="AO5" s="19">
        <v>0.56552543869953709</v>
      </c>
      <c r="AP5" s="19">
        <v>0.418951549247639</v>
      </c>
      <c r="AQ5" s="20">
        <v>0.91301725408595691</v>
      </c>
      <c r="AR5" s="20">
        <v>0.96947508801495963</v>
      </c>
      <c r="AS5" s="20">
        <v>0.999</v>
      </c>
      <c r="AT5" s="20">
        <v>0.96947508801495963</v>
      </c>
      <c r="AU5" s="20">
        <v>0.94082276905066442</v>
      </c>
      <c r="AV5" s="20">
        <v>0.88603351628044036</v>
      </c>
      <c r="AW5" s="20">
        <v>0.76261611484251635</v>
      </c>
      <c r="AX5" s="20">
        <v>0.6563897729952417</v>
      </c>
      <c r="AY5" s="20">
        <v>0.5649599132608375</v>
      </c>
      <c r="AZ5" s="20">
        <v>0.41853259769839135</v>
      </c>
      <c r="BA5" s="21">
        <v>0.91301725408595691</v>
      </c>
      <c r="BB5" s="21">
        <v>0.96947508801495963</v>
      </c>
      <c r="BC5" s="21">
        <v>0.999</v>
      </c>
      <c r="BD5" s="21">
        <v>0.96947508801495963</v>
      </c>
      <c r="BE5" s="21">
        <v>0.94082276905066442</v>
      </c>
      <c r="BF5" s="21">
        <v>0.88603351628044036</v>
      </c>
      <c r="BG5" s="21">
        <v>0.76261611484251635</v>
      </c>
      <c r="BH5" s="21">
        <v>0.6563897729952417</v>
      </c>
      <c r="BI5" s="21">
        <v>0.5649599132608375</v>
      </c>
      <c r="BJ5" s="22">
        <v>0.41853259769839135</v>
      </c>
      <c r="BL5" s="23">
        <v>-14573.601196110776</v>
      </c>
    </row>
    <row r="6" spans="2:64">
      <c r="AG6" s="18">
        <v>0.97039231265908577</v>
      </c>
      <c r="AH6" s="19">
        <v>0.91393118527122819</v>
      </c>
      <c r="AI6" s="19">
        <v>0.97044553354850815</v>
      </c>
      <c r="AJ6" s="19">
        <v>1</v>
      </c>
      <c r="AK6" s="19">
        <v>0.98511193960306265</v>
      </c>
      <c r="AL6" s="19">
        <v>0.95599748183309996</v>
      </c>
      <c r="AM6" s="19">
        <v>0.88692043671715748</v>
      </c>
      <c r="AN6" s="19">
        <v>0.82283465805601841</v>
      </c>
      <c r="AO6" s="19">
        <v>0.76337949433685315</v>
      </c>
      <c r="AP6" s="19">
        <v>0.65704681981505675</v>
      </c>
      <c r="AQ6" s="20">
        <v>0.80977366172421694</v>
      </c>
      <c r="AR6" s="20">
        <v>0.91301725408595691</v>
      </c>
      <c r="AS6" s="20">
        <v>0.96947508801495963</v>
      </c>
      <c r="AT6" s="20">
        <v>0.999</v>
      </c>
      <c r="AU6" s="20">
        <v>0.9841268276634596</v>
      </c>
      <c r="AV6" s="20">
        <v>0.9550414843512669</v>
      </c>
      <c r="AW6" s="20">
        <v>0.88603351628044036</v>
      </c>
      <c r="AX6" s="20">
        <v>0.82201182339796242</v>
      </c>
      <c r="AY6" s="20">
        <v>0.76261611484251635</v>
      </c>
      <c r="AZ6" s="20">
        <v>0.6563897729952417</v>
      </c>
      <c r="BA6" s="21">
        <v>0.80977366172421694</v>
      </c>
      <c r="BB6" s="21">
        <v>0.91301725408595691</v>
      </c>
      <c r="BC6" s="21">
        <v>0.96947508801495963</v>
      </c>
      <c r="BD6" s="21">
        <v>0.999</v>
      </c>
      <c r="BE6" s="21">
        <v>0.9841268276634596</v>
      </c>
      <c r="BF6" s="21">
        <v>0.9550414843512669</v>
      </c>
      <c r="BG6" s="21">
        <v>0.88603351628044036</v>
      </c>
      <c r="BH6" s="21">
        <v>0.82201182339796242</v>
      </c>
      <c r="BI6" s="21">
        <v>0.76261611484251635</v>
      </c>
      <c r="BJ6" s="22">
        <v>0.6563897729952417</v>
      </c>
      <c r="BL6" s="23">
        <v>-347684.88259054522</v>
      </c>
    </row>
    <row r="7" spans="2:64">
      <c r="AG7" s="18">
        <v>0.9391820008776941</v>
      </c>
      <c r="AH7" s="19">
        <v>0.86070797642505781</v>
      </c>
      <c r="AI7" s="19">
        <v>0.94176453358424872</v>
      </c>
      <c r="AJ7" s="19">
        <v>0.98511193960306265</v>
      </c>
      <c r="AK7" s="19">
        <v>1</v>
      </c>
      <c r="AL7" s="19">
        <v>0.98019867330675525</v>
      </c>
      <c r="AM7" s="19">
        <v>0.93239381990594827</v>
      </c>
      <c r="AN7" s="19">
        <v>0.88692043671715748</v>
      </c>
      <c r="AO7" s="19">
        <v>0.8436648165963837</v>
      </c>
      <c r="AP7" s="19">
        <v>0.76337949433685326</v>
      </c>
      <c r="AQ7" s="20">
        <v>0.71820480969849421</v>
      </c>
      <c r="AR7" s="20">
        <v>0.8598472684486328</v>
      </c>
      <c r="AS7" s="20">
        <v>0.94082276905066442</v>
      </c>
      <c r="AT7" s="20">
        <v>0.9841268276634596</v>
      </c>
      <c r="AU7" s="20">
        <v>0.999</v>
      </c>
      <c r="AV7" s="20">
        <v>0.97921847463344847</v>
      </c>
      <c r="AW7" s="20">
        <v>0.93146142608604232</v>
      </c>
      <c r="AX7" s="20">
        <v>0.88603351628044036</v>
      </c>
      <c r="AY7" s="20">
        <v>0.84282115177978734</v>
      </c>
      <c r="AZ7" s="20">
        <v>0.76261611484251646</v>
      </c>
      <c r="BA7" s="21">
        <v>0.71820480969849421</v>
      </c>
      <c r="BB7" s="21">
        <v>0.8598472684486328</v>
      </c>
      <c r="BC7" s="21">
        <v>0.94082276905066442</v>
      </c>
      <c r="BD7" s="21">
        <v>0.9841268276634596</v>
      </c>
      <c r="BE7" s="21">
        <v>0.999</v>
      </c>
      <c r="BF7" s="21">
        <v>0.97921847463344847</v>
      </c>
      <c r="BG7" s="21">
        <v>0.93146142608604232</v>
      </c>
      <c r="BH7" s="21">
        <v>0.88603351628044036</v>
      </c>
      <c r="BI7" s="21">
        <v>0.84282115177978734</v>
      </c>
      <c r="BJ7" s="22">
        <v>0.76261611484251646</v>
      </c>
      <c r="BL7" s="23">
        <v>-4.1947283183194947E-2</v>
      </c>
    </row>
    <row r="8" spans="2:64">
      <c r="AG8" s="18">
        <v>0.87834708291788832</v>
      </c>
      <c r="AH8" s="19">
        <v>0.76337949433685315</v>
      </c>
      <c r="AI8" s="19">
        <v>0.88692043671715748</v>
      </c>
      <c r="AJ8" s="19">
        <v>0.95599748183309996</v>
      </c>
      <c r="AK8" s="19">
        <v>0.98019867330675525</v>
      </c>
      <c r="AL8" s="19">
        <v>1</v>
      </c>
      <c r="AM8" s="19">
        <v>0.97044553354850815</v>
      </c>
      <c r="AN8" s="19">
        <v>0.94176453358424872</v>
      </c>
      <c r="AO8" s="19">
        <v>0.91393118527122819</v>
      </c>
      <c r="AP8" s="19">
        <v>0.86070797642505781</v>
      </c>
      <c r="AQ8" s="20">
        <v>0.5649599132608375</v>
      </c>
      <c r="AR8" s="20">
        <v>0.76261611484251635</v>
      </c>
      <c r="AS8" s="20">
        <v>0.88603351628044036</v>
      </c>
      <c r="AT8" s="20">
        <v>0.9550414843512669</v>
      </c>
      <c r="AU8" s="20">
        <v>0.97921847463344847</v>
      </c>
      <c r="AV8" s="20">
        <v>0.999</v>
      </c>
      <c r="AW8" s="20">
        <v>0.96947508801495963</v>
      </c>
      <c r="AX8" s="20">
        <v>0.94082276905066442</v>
      </c>
      <c r="AY8" s="20">
        <v>0.91301725408595691</v>
      </c>
      <c r="AZ8" s="20">
        <v>0.8598472684486328</v>
      </c>
      <c r="BA8" s="21">
        <v>0.5649599132608375</v>
      </c>
      <c r="BB8" s="21">
        <v>0.76261611484251635</v>
      </c>
      <c r="BC8" s="21">
        <v>0.88603351628044036</v>
      </c>
      <c r="BD8" s="21">
        <v>0.9550414843512669</v>
      </c>
      <c r="BE8" s="21">
        <v>0.97921847463344847</v>
      </c>
      <c r="BF8" s="21">
        <v>0.999</v>
      </c>
      <c r="BG8" s="21">
        <v>0.96947508801495963</v>
      </c>
      <c r="BH8" s="21">
        <v>0.94082276905066442</v>
      </c>
      <c r="BI8" s="21">
        <v>0.91301725408595691</v>
      </c>
      <c r="BJ8" s="22">
        <v>0.8598472684486328</v>
      </c>
      <c r="BL8" s="23">
        <v>-14052.423417123753</v>
      </c>
    </row>
    <row r="9" spans="2:64">
      <c r="AG9" s="18">
        <v>0.73231053229201482</v>
      </c>
      <c r="AH9" s="19">
        <v>0.56552543869953709</v>
      </c>
      <c r="AI9" s="19">
        <v>0.76337949433685315</v>
      </c>
      <c r="AJ9" s="19">
        <v>0.88692043671715748</v>
      </c>
      <c r="AK9" s="19">
        <v>0.93239381990594827</v>
      </c>
      <c r="AL9" s="19">
        <v>0.97044553354850815</v>
      </c>
      <c r="AM9" s="19">
        <v>1</v>
      </c>
      <c r="AN9" s="19">
        <v>0.98511193960306265</v>
      </c>
      <c r="AO9" s="19">
        <v>0.97044553354850815</v>
      </c>
      <c r="AP9" s="19">
        <v>0.94176453358424872</v>
      </c>
      <c r="AQ9" s="20">
        <v>0.39960000000000001</v>
      </c>
      <c r="AR9" s="20">
        <v>0.5649599132608375</v>
      </c>
      <c r="AS9" s="20">
        <v>0.76261611484251635</v>
      </c>
      <c r="AT9" s="20">
        <v>0.88603351628044036</v>
      </c>
      <c r="AU9" s="20">
        <v>0.93146142608604232</v>
      </c>
      <c r="AV9" s="20">
        <v>0.96947508801495963</v>
      </c>
      <c r="AW9" s="20">
        <v>0.999</v>
      </c>
      <c r="AX9" s="20">
        <v>0.9841268276634596</v>
      </c>
      <c r="AY9" s="20">
        <v>0.96947508801495963</v>
      </c>
      <c r="AZ9" s="20">
        <v>0.94082276905066442</v>
      </c>
      <c r="BA9" s="21">
        <v>0.39960000000000001</v>
      </c>
      <c r="BB9" s="21">
        <v>0.5649599132608375</v>
      </c>
      <c r="BC9" s="21">
        <v>0.76261611484251635</v>
      </c>
      <c r="BD9" s="21">
        <v>0.88603351628044036</v>
      </c>
      <c r="BE9" s="21">
        <v>0.93146142608604232</v>
      </c>
      <c r="BF9" s="21">
        <v>0.96947508801495963</v>
      </c>
      <c r="BG9" s="21">
        <v>0.999</v>
      </c>
      <c r="BH9" s="21">
        <v>0.9841268276634596</v>
      </c>
      <c r="BI9" s="21">
        <v>0.96947508801495963</v>
      </c>
      <c r="BJ9" s="22">
        <v>0.94082276905066442</v>
      </c>
      <c r="BL9" s="23">
        <v>-3546539.8350677057</v>
      </c>
    </row>
    <row r="10" spans="2:64">
      <c r="AG10" s="18">
        <v>0.55738815465136704</v>
      </c>
      <c r="AH10" s="19">
        <v>0.418951549247639</v>
      </c>
      <c r="AI10" s="19">
        <v>0.65704681981505675</v>
      </c>
      <c r="AJ10" s="19">
        <v>0.82283465805601841</v>
      </c>
      <c r="AK10" s="19">
        <v>0.88692043671715748</v>
      </c>
      <c r="AL10" s="19">
        <v>0.94176453358424872</v>
      </c>
      <c r="AM10" s="19">
        <v>0.98511193960306265</v>
      </c>
      <c r="AN10" s="19">
        <v>1</v>
      </c>
      <c r="AO10" s="19">
        <v>0.99004983374916811</v>
      </c>
      <c r="AP10" s="19">
        <v>0.97044553354850815</v>
      </c>
      <c r="AQ10" s="20">
        <v>0.39960000000000001</v>
      </c>
      <c r="AR10" s="20">
        <v>0.41853259769839135</v>
      </c>
      <c r="AS10" s="20">
        <v>0.6563897729952417</v>
      </c>
      <c r="AT10" s="20">
        <v>0.82201182339796242</v>
      </c>
      <c r="AU10" s="20">
        <v>0.88603351628044036</v>
      </c>
      <c r="AV10" s="20">
        <v>0.94082276905066442</v>
      </c>
      <c r="AW10" s="20">
        <v>0.9841268276634596</v>
      </c>
      <c r="AX10" s="20">
        <v>0.999</v>
      </c>
      <c r="AY10" s="20">
        <v>0.98905978391541893</v>
      </c>
      <c r="AZ10" s="20">
        <v>0.96947508801495963</v>
      </c>
      <c r="BA10" s="21">
        <v>0.39960000000000001</v>
      </c>
      <c r="BB10" s="21">
        <v>0.41853259769839135</v>
      </c>
      <c r="BC10" s="21">
        <v>0.6563897729952417</v>
      </c>
      <c r="BD10" s="21">
        <v>0.82201182339796242</v>
      </c>
      <c r="BE10" s="21">
        <v>0.88603351628044036</v>
      </c>
      <c r="BF10" s="21">
        <v>0.94082276905066442</v>
      </c>
      <c r="BG10" s="21">
        <v>0.9841268276634596</v>
      </c>
      <c r="BH10" s="21">
        <v>0.999</v>
      </c>
      <c r="BI10" s="21">
        <v>0.98905978391541893</v>
      </c>
      <c r="BJ10" s="22">
        <v>0.96947508801495963</v>
      </c>
      <c r="BL10" s="23">
        <v>-27828.153413970951</v>
      </c>
    </row>
    <row r="11" spans="2:64">
      <c r="AG11" s="18">
        <v>0.4</v>
      </c>
      <c r="AH11" s="19">
        <v>0.4</v>
      </c>
      <c r="AI11" s="19">
        <v>0.56552543869953709</v>
      </c>
      <c r="AJ11" s="19">
        <v>0.76337949433685315</v>
      </c>
      <c r="AK11" s="19">
        <v>0.8436648165963837</v>
      </c>
      <c r="AL11" s="19">
        <v>0.91393118527122819</v>
      </c>
      <c r="AM11" s="19">
        <v>0.97044553354850815</v>
      </c>
      <c r="AN11" s="19">
        <v>0.99004983374916811</v>
      </c>
      <c r="AO11" s="19">
        <v>1</v>
      </c>
      <c r="AP11" s="19">
        <v>0.98511193960306265</v>
      </c>
      <c r="AQ11" s="20">
        <v>0.39960000000000001</v>
      </c>
      <c r="AR11" s="20">
        <v>0.39960000000000001</v>
      </c>
      <c r="AS11" s="20">
        <v>0.5649599132608375</v>
      </c>
      <c r="AT11" s="20">
        <v>0.76261611484251635</v>
      </c>
      <c r="AU11" s="20">
        <v>0.84282115177978734</v>
      </c>
      <c r="AV11" s="20">
        <v>0.91301725408595691</v>
      </c>
      <c r="AW11" s="20">
        <v>0.96947508801495963</v>
      </c>
      <c r="AX11" s="20">
        <v>0.98905978391541893</v>
      </c>
      <c r="AY11" s="20">
        <v>0.999</v>
      </c>
      <c r="AZ11" s="20">
        <v>0.9841268276634596</v>
      </c>
      <c r="BA11" s="21">
        <v>0.39960000000000001</v>
      </c>
      <c r="BB11" s="21">
        <v>0.39960000000000001</v>
      </c>
      <c r="BC11" s="21">
        <v>0.5649599132608375</v>
      </c>
      <c r="BD11" s="21">
        <v>0.76261611484251635</v>
      </c>
      <c r="BE11" s="21">
        <v>0.84282115177978734</v>
      </c>
      <c r="BF11" s="21">
        <v>0.91301725408595691</v>
      </c>
      <c r="BG11" s="21">
        <v>0.96947508801495963</v>
      </c>
      <c r="BH11" s="21">
        <v>0.98905978391541893</v>
      </c>
      <c r="BI11" s="21">
        <v>0.999</v>
      </c>
      <c r="BJ11" s="22">
        <v>0.9841268276634596</v>
      </c>
      <c r="BL11" s="23">
        <v>-1183602.8459766759</v>
      </c>
    </row>
    <row r="12" spans="2:64">
      <c r="AG12" s="18">
        <v>0.4</v>
      </c>
      <c r="AH12" s="19">
        <v>0.4</v>
      </c>
      <c r="AI12" s="19">
        <v>0.418951549247639</v>
      </c>
      <c r="AJ12" s="19">
        <v>0.65704681981505675</v>
      </c>
      <c r="AK12" s="19">
        <v>0.76337949433685326</v>
      </c>
      <c r="AL12" s="19">
        <v>0.86070797642505781</v>
      </c>
      <c r="AM12" s="19">
        <v>0.94176453358424872</v>
      </c>
      <c r="AN12" s="19">
        <v>0.97044553354850815</v>
      </c>
      <c r="AO12" s="19">
        <v>0.98511193960306265</v>
      </c>
      <c r="AP12" s="19">
        <v>1</v>
      </c>
      <c r="AQ12" s="20">
        <v>0.39960000000000001</v>
      </c>
      <c r="AR12" s="20">
        <v>0.39960000000000001</v>
      </c>
      <c r="AS12" s="20">
        <v>0.41853259769839135</v>
      </c>
      <c r="AT12" s="20">
        <v>0.6563897729952417</v>
      </c>
      <c r="AU12" s="20">
        <v>0.76261611484251646</v>
      </c>
      <c r="AV12" s="20">
        <v>0.8598472684486328</v>
      </c>
      <c r="AW12" s="20">
        <v>0.94082276905066442</v>
      </c>
      <c r="AX12" s="20">
        <v>0.96947508801495963</v>
      </c>
      <c r="AY12" s="20">
        <v>0.9841268276634596</v>
      </c>
      <c r="AZ12" s="20">
        <v>0.999</v>
      </c>
      <c r="BA12" s="21">
        <v>0.39960000000000001</v>
      </c>
      <c r="BB12" s="21">
        <v>0.39960000000000001</v>
      </c>
      <c r="BC12" s="21">
        <v>0.41853259769839135</v>
      </c>
      <c r="BD12" s="21">
        <v>0.6563897729952417</v>
      </c>
      <c r="BE12" s="21">
        <v>0.76261611484251646</v>
      </c>
      <c r="BF12" s="21">
        <v>0.8598472684486328</v>
      </c>
      <c r="BG12" s="21">
        <v>0.94082276905066442</v>
      </c>
      <c r="BH12" s="21">
        <v>0.96947508801495963</v>
      </c>
      <c r="BI12" s="21">
        <v>0.9841268276634596</v>
      </c>
      <c r="BJ12" s="22">
        <v>0.999</v>
      </c>
      <c r="BL12" s="23">
        <v>0</v>
      </c>
    </row>
    <row r="13" spans="2:64">
      <c r="AG13" s="24">
        <v>0.999</v>
      </c>
      <c r="AH13" s="20">
        <v>0.96947508801495963</v>
      </c>
      <c r="AI13" s="20">
        <v>0.91301725408595691</v>
      </c>
      <c r="AJ13" s="20">
        <v>0.80977366172421694</v>
      </c>
      <c r="AK13" s="20">
        <v>0.71820480969849421</v>
      </c>
      <c r="AL13" s="20">
        <v>0.5649599132608375</v>
      </c>
      <c r="AM13" s="20">
        <v>0.39960000000000001</v>
      </c>
      <c r="AN13" s="20">
        <v>0.39960000000000001</v>
      </c>
      <c r="AO13" s="20">
        <v>0.39960000000000001</v>
      </c>
      <c r="AP13" s="20">
        <v>0.39960000000000001</v>
      </c>
      <c r="AQ13" s="25">
        <v>1</v>
      </c>
      <c r="AR13" s="25">
        <v>0.97044553354850815</v>
      </c>
      <c r="AS13" s="25">
        <v>0.91393118527122819</v>
      </c>
      <c r="AT13" s="25">
        <v>0.81058424597018708</v>
      </c>
      <c r="AU13" s="25">
        <v>0.71892373343192617</v>
      </c>
      <c r="AV13" s="25">
        <v>0.56552543869953709</v>
      </c>
      <c r="AW13" s="25">
        <v>0.4</v>
      </c>
      <c r="AX13" s="25">
        <v>0.4</v>
      </c>
      <c r="AY13" s="25">
        <v>0.4</v>
      </c>
      <c r="AZ13" s="25">
        <v>0.4</v>
      </c>
      <c r="BA13" s="20">
        <v>0.999</v>
      </c>
      <c r="BB13" s="20">
        <v>0.96947508801495963</v>
      </c>
      <c r="BC13" s="20">
        <v>0.91301725408595691</v>
      </c>
      <c r="BD13" s="20">
        <v>0.80977366172421694</v>
      </c>
      <c r="BE13" s="20">
        <v>0.71820480969849421</v>
      </c>
      <c r="BF13" s="20">
        <v>0.5649599132608375</v>
      </c>
      <c r="BG13" s="20">
        <v>0.39960000000000001</v>
      </c>
      <c r="BH13" s="20">
        <v>0.39960000000000001</v>
      </c>
      <c r="BI13" s="20">
        <v>0.39960000000000001</v>
      </c>
      <c r="BJ13" s="26">
        <v>0.39960000000000001</v>
      </c>
      <c r="BL13" s="27">
        <v>-907333.31136800675</v>
      </c>
    </row>
    <row r="14" spans="2:64">
      <c r="AG14" s="24">
        <v>0.96947508801495963</v>
      </c>
      <c r="AH14" s="20">
        <v>0.999</v>
      </c>
      <c r="AI14" s="20">
        <v>0.96947508801495963</v>
      </c>
      <c r="AJ14" s="20">
        <v>0.91301725408595691</v>
      </c>
      <c r="AK14" s="20">
        <v>0.8598472684486328</v>
      </c>
      <c r="AL14" s="20">
        <v>0.76261611484251635</v>
      </c>
      <c r="AM14" s="20">
        <v>0.5649599132608375</v>
      </c>
      <c r="AN14" s="20">
        <v>0.41853259769839135</v>
      </c>
      <c r="AO14" s="20">
        <v>0.39960000000000001</v>
      </c>
      <c r="AP14" s="20">
        <v>0.39960000000000001</v>
      </c>
      <c r="AQ14" s="25">
        <v>0.97044553354850815</v>
      </c>
      <c r="AR14" s="25">
        <v>1</v>
      </c>
      <c r="AS14" s="25">
        <v>0.97044553354850815</v>
      </c>
      <c r="AT14" s="25">
        <v>0.91393118527122819</v>
      </c>
      <c r="AU14" s="25">
        <v>0.86070797642505781</v>
      </c>
      <c r="AV14" s="25">
        <v>0.76337949433685315</v>
      </c>
      <c r="AW14" s="25">
        <v>0.56552543869953709</v>
      </c>
      <c r="AX14" s="25">
        <v>0.418951549247639</v>
      </c>
      <c r="AY14" s="25">
        <v>0.4</v>
      </c>
      <c r="AZ14" s="25">
        <v>0.4</v>
      </c>
      <c r="BA14" s="20">
        <v>0.96947508801495963</v>
      </c>
      <c r="BB14" s="20">
        <v>0.999</v>
      </c>
      <c r="BC14" s="20">
        <v>0.96947508801495963</v>
      </c>
      <c r="BD14" s="20">
        <v>0.91301725408595691</v>
      </c>
      <c r="BE14" s="20">
        <v>0.8598472684486328</v>
      </c>
      <c r="BF14" s="20">
        <v>0.76261611484251635</v>
      </c>
      <c r="BG14" s="20">
        <v>0.5649599132608375</v>
      </c>
      <c r="BH14" s="20">
        <v>0.41853259769839135</v>
      </c>
      <c r="BI14" s="20">
        <v>0.39960000000000001</v>
      </c>
      <c r="BJ14" s="26">
        <v>0.39960000000000001</v>
      </c>
      <c r="BL14" s="27">
        <v>3680.5344024181245</v>
      </c>
    </row>
    <row r="15" spans="2:64">
      <c r="AG15" s="24">
        <v>0.91301725408595691</v>
      </c>
      <c r="AH15" s="20">
        <v>0.96947508801495963</v>
      </c>
      <c r="AI15" s="20">
        <v>0.999</v>
      </c>
      <c r="AJ15" s="20">
        <v>0.96947508801495963</v>
      </c>
      <c r="AK15" s="20">
        <v>0.94082276905066442</v>
      </c>
      <c r="AL15" s="20">
        <v>0.88603351628044036</v>
      </c>
      <c r="AM15" s="20">
        <v>0.76261611484251635</v>
      </c>
      <c r="AN15" s="20">
        <v>0.6563897729952417</v>
      </c>
      <c r="AO15" s="20">
        <v>0.5649599132608375</v>
      </c>
      <c r="AP15" s="20">
        <v>0.41853259769839135</v>
      </c>
      <c r="AQ15" s="25">
        <v>0.91393118527122819</v>
      </c>
      <c r="AR15" s="25">
        <v>0.97044553354850815</v>
      </c>
      <c r="AS15" s="25">
        <v>1</v>
      </c>
      <c r="AT15" s="25">
        <v>0.97044553354850815</v>
      </c>
      <c r="AU15" s="25">
        <v>0.94176453358424872</v>
      </c>
      <c r="AV15" s="25">
        <v>0.88692043671715748</v>
      </c>
      <c r="AW15" s="25">
        <v>0.76337949433685315</v>
      </c>
      <c r="AX15" s="25">
        <v>0.65704681981505675</v>
      </c>
      <c r="AY15" s="25">
        <v>0.56552543869953709</v>
      </c>
      <c r="AZ15" s="25">
        <v>0.418951549247639</v>
      </c>
      <c r="BA15" s="20">
        <v>0.91301725408595691</v>
      </c>
      <c r="BB15" s="20">
        <v>0.96947508801495963</v>
      </c>
      <c r="BC15" s="20">
        <v>0.999</v>
      </c>
      <c r="BD15" s="20">
        <v>0.96947508801495963</v>
      </c>
      <c r="BE15" s="20">
        <v>0.94082276905066442</v>
      </c>
      <c r="BF15" s="20">
        <v>0.88603351628044036</v>
      </c>
      <c r="BG15" s="20">
        <v>0.76261611484251635</v>
      </c>
      <c r="BH15" s="20">
        <v>0.6563897729952417</v>
      </c>
      <c r="BI15" s="20">
        <v>0.5649599132608375</v>
      </c>
      <c r="BJ15" s="26">
        <v>0.41853259769839135</v>
      </c>
      <c r="BL15" s="27">
        <v>3479.5849816644973</v>
      </c>
    </row>
    <row r="16" spans="2:64">
      <c r="AG16" s="24">
        <v>0.80977366172421694</v>
      </c>
      <c r="AH16" s="20">
        <v>0.91301725408595691</v>
      </c>
      <c r="AI16" s="20">
        <v>0.96947508801495963</v>
      </c>
      <c r="AJ16" s="20">
        <v>0.999</v>
      </c>
      <c r="AK16" s="20">
        <v>0.9841268276634596</v>
      </c>
      <c r="AL16" s="20">
        <v>0.9550414843512669</v>
      </c>
      <c r="AM16" s="20">
        <v>0.88603351628044036</v>
      </c>
      <c r="AN16" s="20">
        <v>0.82201182339796242</v>
      </c>
      <c r="AO16" s="20">
        <v>0.76261611484251635</v>
      </c>
      <c r="AP16" s="20">
        <v>0.6563897729952417</v>
      </c>
      <c r="AQ16" s="25">
        <v>0.81058424597018708</v>
      </c>
      <c r="AR16" s="25">
        <v>0.91393118527122819</v>
      </c>
      <c r="AS16" s="25">
        <v>0.97044553354850815</v>
      </c>
      <c r="AT16" s="25">
        <v>1</v>
      </c>
      <c r="AU16" s="25">
        <v>0.98511193960306265</v>
      </c>
      <c r="AV16" s="25">
        <v>0.95599748183309996</v>
      </c>
      <c r="AW16" s="25">
        <v>0.88692043671715748</v>
      </c>
      <c r="AX16" s="25">
        <v>0.82283465805601841</v>
      </c>
      <c r="AY16" s="25">
        <v>0.76337949433685315</v>
      </c>
      <c r="AZ16" s="25">
        <v>0.65704681981505675</v>
      </c>
      <c r="BA16" s="20">
        <v>0.80977366172421694</v>
      </c>
      <c r="BB16" s="20">
        <v>0.91301725408595691</v>
      </c>
      <c r="BC16" s="20">
        <v>0.96947508801495963</v>
      </c>
      <c r="BD16" s="20">
        <v>0.999</v>
      </c>
      <c r="BE16" s="20">
        <v>0.9841268276634596</v>
      </c>
      <c r="BF16" s="20">
        <v>0.9550414843512669</v>
      </c>
      <c r="BG16" s="20">
        <v>0.88603351628044036</v>
      </c>
      <c r="BH16" s="20">
        <v>0.82201182339796242</v>
      </c>
      <c r="BI16" s="20">
        <v>0.76261611484251635</v>
      </c>
      <c r="BJ16" s="26">
        <v>0.6563897729952417</v>
      </c>
      <c r="BL16" s="27">
        <v>2812.8264676446765</v>
      </c>
    </row>
    <row r="17" spans="33:69">
      <c r="AG17" s="24">
        <v>0.71820480969849421</v>
      </c>
      <c r="AH17" s="20">
        <v>0.8598472684486328</v>
      </c>
      <c r="AI17" s="20">
        <v>0.94082276905066442</v>
      </c>
      <c r="AJ17" s="20">
        <v>0.9841268276634596</v>
      </c>
      <c r="AK17" s="20">
        <v>0.999</v>
      </c>
      <c r="AL17" s="20">
        <v>0.97921847463344847</v>
      </c>
      <c r="AM17" s="20">
        <v>0.93146142608604232</v>
      </c>
      <c r="AN17" s="20">
        <v>0.88603351628044036</v>
      </c>
      <c r="AO17" s="20">
        <v>0.84282115177978734</v>
      </c>
      <c r="AP17" s="20">
        <v>0.76261611484251646</v>
      </c>
      <c r="AQ17" s="25">
        <v>0.71892373343192617</v>
      </c>
      <c r="AR17" s="25">
        <v>0.86070797642505781</v>
      </c>
      <c r="AS17" s="25">
        <v>0.94176453358424872</v>
      </c>
      <c r="AT17" s="25">
        <v>0.98511193960306265</v>
      </c>
      <c r="AU17" s="25">
        <v>1</v>
      </c>
      <c r="AV17" s="25">
        <v>0.98019867330675525</v>
      </c>
      <c r="AW17" s="25">
        <v>0.93239381990594827</v>
      </c>
      <c r="AX17" s="25">
        <v>0.88692043671715748</v>
      </c>
      <c r="AY17" s="25">
        <v>0.8436648165963837</v>
      </c>
      <c r="AZ17" s="25">
        <v>0.76337949433685326</v>
      </c>
      <c r="BA17" s="20">
        <v>0.71820480969849421</v>
      </c>
      <c r="BB17" s="20">
        <v>0.8598472684486328</v>
      </c>
      <c r="BC17" s="20">
        <v>0.94082276905066442</v>
      </c>
      <c r="BD17" s="20">
        <v>0.9841268276634596</v>
      </c>
      <c r="BE17" s="20">
        <v>0.999</v>
      </c>
      <c r="BF17" s="20">
        <v>0.97921847463344847</v>
      </c>
      <c r="BG17" s="20">
        <v>0.93146142608604232</v>
      </c>
      <c r="BH17" s="20">
        <v>0.88603351628044036</v>
      </c>
      <c r="BI17" s="20">
        <v>0.84282115177978734</v>
      </c>
      <c r="BJ17" s="26">
        <v>0.76261611484251646</v>
      </c>
      <c r="BL17" s="27">
        <v>2553.5305943386243</v>
      </c>
    </row>
    <row r="18" spans="33:69">
      <c r="AG18" s="24">
        <v>0.5649599132608375</v>
      </c>
      <c r="AH18" s="20">
        <v>0.76261611484251635</v>
      </c>
      <c r="AI18" s="20">
        <v>0.88603351628044036</v>
      </c>
      <c r="AJ18" s="20">
        <v>0.9550414843512669</v>
      </c>
      <c r="AK18" s="20">
        <v>0.97921847463344847</v>
      </c>
      <c r="AL18" s="20">
        <v>0.999</v>
      </c>
      <c r="AM18" s="20">
        <v>0.96947508801495963</v>
      </c>
      <c r="AN18" s="20">
        <v>0.94082276905066442</v>
      </c>
      <c r="AO18" s="20">
        <v>0.91301725408595691</v>
      </c>
      <c r="AP18" s="20">
        <v>0.8598472684486328</v>
      </c>
      <c r="AQ18" s="25">
        <v>0.56552543869953709</v>
      </c>
      <c r="AR18" s="25">
        <v>0.76337949433685315</v>
      </c>
      <c r="AS18" s="25">
        <v>0.88692043671715748</v>
      </c>
      <c r="AT18" s="25">
        <v>0.95599748183309996</v>
      </c>
      <c r="AU18" s="25">
        <v>0.98019867330675525</v>
      </c>
      <c r="AV18" s="25">
        <v>1</v>
      </c>
      <c r="AW18" s="25">
        <v>0.97044553354850815</v>
      </c>
      <c r="AX18" s="25">
        <v>0.94176453358424872</v>
      </c>
      <c r="AY18" s="25">
        <v>0.91393118527122819</v>
      </c>
      <c r="AZ18" s="25">
        <v>0.86070797642505781</v>
      </c>
      <c r="BA18" s="20">
        <v>0.5649599132608375</v>
      </c>
      <c r="BB18" s="20">
        <v>0.76261611484251635</v>
      </c>
      <c r="BC18" s="20">
        <v>0.88603351628044036</v>
      </c>
      <c r="BD18" s="20">
        <v>0.9550414843512669</v>
      </c>
      <c r="BE18" s="20">
        <v>0.97921847463344847</v>
      </c>
      <c r="BF18" s="20">
        <v>0.999</v>
      </c>
      <c r="BG18" s="20">
        <v>0.96947508801495963</v>
      </c>
      <c r="BH18" s="20">
        <v>0.94082276905066442</v>
      </c>
      <c r="BI18" s="20">
        <v>0.91301725408595691</v>
      </c>
      <c r="BJ18" s="26">
        <v>0.8598472684486328</v>
      </c>
      <c r="BL18" s="27">
        <v>2359.3269084355516</v>
      </c>
    </row>
    <row r="19" spans="33:69">
      <c r="AG19" s="24">
        <v>0.39960000000000001</v>
      </c>
      <c r="AH19" s="20">
        <v>0.5649599132608375</v>
      </c>
      <c r="AI19" s="20">
        <v>0.76261611484251635</v>
      </c>
      <c r="AJ19" s="20">
        <v>0.88603351628044036</v>
      </c>
      <c r="AK19" s="20">
        <v>0.93146142608604232</v>
      </c>
      <c r="AL19" s="20">
        <v>0.96947508801495963</v>
      </c>
      <c r="AM19" s="20">
        <v>0.999</v>
      </c>
      <c r="AN19" s="20">
        <v>0.9841268276634596</v>
      </c>
      <c r="AO19" s="20">
        <v>0.96947508801495963</v>
      </c>
      <c r="AP19" s="20">
        <v>0.94082276905066442</v>
      </c>
      <c r="AQ19" s="25">
        <v>0.4</v>
      </c>
      <c r="AR19" s="25">
        <v>0.56552543869953709</v>
      </c>
      <c r="AS19" s="25">
        <v>0.76337949433685315</v>
      </c>
      <c r="AT19" s="25">
        <v>0.88692043671715748</v>
      </c>
      <c r="AU19" s="25">
        <v>0.93239381990594827</v>
      </c>
      <c r="AV19" s="25">
        <v>0.97044553354850815</v>
      </c>
      <c r="AW19" s="25">
        <v>1</v>
      </c>
      <c r="AX19" s="25">
        <v>0.98511193960306265</v>
      </c>
      <c r="AY19" s="25">
        <v>0.97044553354850815</v>
      </c>
      <c r="AZ19" s="25">
        <v>0.94176453358424872</v>
      </c>
      <c r="BA19" s="20">
        <v>0.39960000000000001</v>
      </c>
      <c r="BB19" s="20">
        <v>0.5649599132608375</v>
      </c>
      <c r="BC19" s="20">
        <v>0.76261611484251635</v>
      </c>
      <c r="BD19" s="20">
        <v>0.88603351628044036</v>
      </c>
      <c r="BE19" s="20">
        <v>0.93146142608604232</v>
      </c>
      <c r="BF19" s="20">
        <v>0.96947508801495963</v>
      </c>
      <c r="BG19" s="20">
        <v>0.999</v>
      </c>
      <c r="BH19" s="20">
        <v>0.9841268276634596</v>
      </c>
      <c r="BI19" s="20">
        <v>0.96947508801495963</v>
      </c>
      <c r="BJ19" s="26">
        <v>0.94082276905066442</v>
      </c>
      <c r="BL19" s="27">
        <v>2376.8182092152824</v>
      </c>
    </row>
    <row r="20" spans="33:69">
      <c r="AG20" s="24">
        <v>0.39960000000000001</v>
      </c>
      <c r="AH20" s="20">
        <v>0.41853259769839135</v>
      </c>
      <c r="AI20" s="20">
        <v>0.6563897729952417</v>
      </c>
      <c r="AJ20" s="20">
        <v>0.82201182339796242</v>
      </c>
      <c r="AK20" s="20">
        <v>0.88603351628044036</v>
      </c>
      <c r="AL20" s="20">
        <v>0.94082276905066442</v>
      </c>
      <c r="AM20" s="20">
        <v>0.9841268276634596</v>
      </c>
      <c r="AN20" s="20">
        <v>0.999</v>
      </c>
      <c r="AO20" s="20">
        <v>0.98905978391541893</v>
      </c>
      <c r="AP20" s="20">
        <v>0.96947508801495963</v>
      </c>
      <c r="AQ20" s="25">
        <v>0.4</v>
      </c>
      <c r="AR20" s="25">
        <v>0.418951549247639</v>
      </c>
      <c r="AS20" s="25">
        <v>0.65704681981505675</v>
      </c>
      <c r="AT20" s="25">
        <v>0.82283465805601841</v>
      </c>
      <c r="AU20" s="25">
        <v>0.88692043671715748</v>
      </c>
      <c r="AV20" s="25">
        <v>0.94176453358424872</v>
      </c>
      <c r="AW20" s="25">
        <v>0.98511193960306265</v>
      </c>
      <c r="AX20" s="25">
        <v>1</v>
      </c>
      <c r="AY20" s="25">
        <v>0.99004983374916811</v>
      </c>
      <c r="AZ20" s="25">
        <v>0.97044553354850815</v>
      </c>
      <c r="BA20" s="20">
        <v>0.39960000000000001</v>
      </c>
      <c r="BB20" s="20">
        <v>0.41853259769839135</v>
      </c>
      <c r="BC20" s="20">
        <v>0.6563897729952417</v>
      </c>
      <c r="BD20" s="20">
        <v>0.82201182339796242</v>
      </c>
      <c r="BE20" s="20">
        <v>0.88603351628044036</v>
      </c>
      <c r="BF20" s="20">
        <v>0.94082276905066442</v>
      </c>
      <c r="BG20" s="20">
        <v>0.9841268276634596</v>
      </c>
      <c r="BH20" s="20">
        <v>0.999</v>
      </c>
      <c r="BI20" s="20">
        <v>0.98905978391541893</v>
      </c>
      <c r="BJ20" s="26">
        <v>0.96947508801495963</v>
      </c>
      <c r="BL20" s="27">
        <v>2378.5557278543242</v>
      </c>
    </row>
    <row r="21" spans="33:69">
      <c r="AG21" s="24">
        <v>0.39960000000000001</v>
      </c>
      <c r="AH21" s="20">
        <v>0.39960000000000001</v>
      </c>
      <c r="AI21" s="20">
        <v>0.5649599132608375</v>
      </c>
      <c r="AJ21" s="20">
        <v>0.76261611484251635</v>
      </c>
      <c r="AK21" s="20">
        <v>0.84282115177978734</v>
      </c>
      <c r="AL21" s="20">
        <v>0.91301725408595691</v>
      </c>
      <c r="AM21" s="20">
        <v>0.96947508801495963</v>
      </c>
      <c r="AN21" s="20">
        <v>0.98905978391541893</v>
      </c>
      <c r="AO21" s="20">
        <v>0.999</v>
      </c>
      <c r="AP21" s="20">
        <v>0.9841268276634596</v>
      </c>
      <c r="AQ21" s="25">
        <v>0.4</v>
      </c>
      <c r="AR21" s="25">
        <v>0.4</v>
      </c>
      <c r="AS21" s="25">
        <v>0.56552543869953709</v>
      </c>
      <c r="AT21" s="25">
        <v>0.76337949433685315</v>
      </c>
      <c r="AU21" s="25">
        <v>0.8436648165963837</v>
      </c>
      <c r="AV21" s="25">
        <v>0.91393118527122819</v>
      </c>
      <c r="AW21" s="25">
        <v>0.97044553354850815</v>
      </c>
      <c r="AX21" s="25">
        <v>0.99004983374916811</v>
      </c>
      <c r="AY21" s="25">
        <v>1</v>
      </c>
      <c r="AZ21" s="25">
        <v>0.98511193960306265</v>
      </c>
      <c r="BA21" s="20">
        <v>0.39960000000000001</v>
      </c>
      <c r="BB21" s="20">
        <v>0.39960000000000001</v>
      </c>
      <c r="BC21" s="20">
        <v>0.5649599132608375</v>
      </c>
      <c r="BD21" s="20">
        <v>0.76261611484251635</v>
      </c>
      <c r="BE21" s="20">
        <v>0.84282115177978734</v>
      </c>
      <c r="BF21" s="20">
        <v>0.91301725408595691</v>
      </c>
      <c r="BG21" s="20">
        <v>0.96947508801495963</v>
      </c>
      <c r="BH21" s="20">
        <v>0.98905978391541893</v>
      </c>
      <c r="BI21" s="20">
        <v>0.999</v>
      </c>
      <c r="BJ21" s="26">
        <v>0.9841268276634596</v>
      </c>
      <c r="BL21" s="27">
        <v>2378.5557278543242</v>
      </c>
    </row>
    <row r="22" spans="33:69">
      <c r="AG22" s="24">
        <v>0.39960000000000001</v>
      </c>
      <c r="AH22" s="20">
        <v>0.39960000000000001</v>
      </c>
      <c r="AI22" s="20">
        <v>0.41853259769839135</v>
      </c>
      <c r="AJ22" s="20">
        <v>0.6563897729952417</v>
      </c>
      <c r="AK22" s="20">
        <v>0.76261611484251646</v>
      </c>
      <c r="AL22" s="20">
        <v>0.8598472684486328</v>
      </c>
      <c r="AM22" s="20">
        <v>0.94082276905066442</v>
      </c>
      <c r="AN22" s="20">
        <v>0.96947508801495963</v>
      </c>
      <c r="AO22" s="20">
        <v>0.9841268276634596</v>
      </c>
      <c r="AP22" s="20">
        <v>0.999</v>
      </c>
      <c r="AQ22" s="25">
        <v>0.4</v>
      </c>
      <c r="AR22" s="25">
        <v>0.4</v>
      </c>
      <c r="AS22" s="25">
        <v>0.418951549247639</v>
      </c>
      <c r="AT22" s="25">
        <v>0.65704681981505675</v>
      </c>
      <c r="AU22" s="25">
        <v>0.76337949433685326</v>
      </c>
      <c r="AV22" s="25">
        <v>0.86070797642505781</v>
      </c>
      <c r="AW22" s="25">
        <v>0.94176453358424872</v>
      </c>
      <c r="AX22" s="25">
        <v>0.97044553354850815</v>
      </c>
      <c r="AY22" s="25">
        <v>0.98511193960306265</v>
      </c>
      <c r="AZ22" s="25">
        <v>1</v>
      </c>
      <c r="BA22" s="20">
        <v>0.39960000000000001</v>
      </c>
      <c r="BB22" s="20">
        <v>0.39960000000000001</v>
      </c>
      <c r="BC22" s="20">
        <v>0.41853259769839135</v>
      </c>
      <c r="BD22" s="20">
        <v>0.6563897729952417</v>
      </c>
      <c r="BE22" s="20">
        <v>0.76261611484251646</v>
      </c>
      <c r="BF22" s="20">
        <v>0.8598472684486328</v>
      </c>
      <c r="BG22" s="20">
        <v>0.94082276905066442</v>
      </c>
      <c r="BH22" s="20">
        <v>0.96947508801495963</v>
      </c>
      <c r="BI22" s="20">
        <v>0.9841268276634596</v>
      </c>
      <c r="BJ22" s="26">
        <v>0.999</v>
      </c>
      <c r="BL22" s="27">
        <v>2378.5557278543242</v>
      </c>
    </row>
    <row r="23" spans="33:69">
      <c r="AG23" s="28">
        <v>0.999</v>
      </c>
      <c r="AH23" s="21">
        <v>0.96947508801495963</v>
      </c>
      <c r="AI23" s="21">
        <v>0.91301725408595691</v>
      </c>
      <c r="AJ23" s="21">
        <v>0.80977366172421694</v>
      </c>
      <c r="AK23" s="21">
        <v>0.71820480969849421</v>
      </c>
      <c r="AL23" s="21">
        <v>0.5649599132608375</v>
      </c>
      <c r="AM23" s="21">
        <v>0.39960000000000001</v>
      </c>
      <c r="AN23" s="21">
        <v>0.39960000000000001</v>
      </c>
      <c r="AO23" s="21">
        <v>0.39960000000000001</v>
      </c>
      <c r="AP23" s="21">
        <v>0.39960000000000001</v>
      </c>
      <c r="AQ23" s="20">
        <v>0.999</v>
      </c>
      <c r="AR23" s="20">
        <v>0.96947508801495963</v>
      </c>
      <c r="AS23" s="20">
        <v>0.91301725408595691</v>
      </c>
      <c r="AT23" s="20">
        <v>0.80977366172421694</v>
      </c>
      <c r="AU23" s="20">
        <v>0.71820480969849421</v>
      </c>
      <c r="AV23" s="20">
        <v>0.5649599132608375</v>
      </c>
      <c r="AW23" s="20">
        <v>0.39960000000000001</v>
      </c>
      <c r="AX23" s="20">
        <v>0.39960000000000001</v>
      </c>
      <c r="AY23" s="20">
        <v>0.39960000000000001</v>
      </c>
      <c r="AZ23" s="20">
        <v>0.39960000000000001</v>
      </c>
      <c r="BA23" s="29">
        <v>1</v>
      </c>
      <c r="BB23" s="29">
        <v>0.97044553354850815</v>
      </c>
      <c r="BC23" s="29">
        <v>0.91393118527122819</v>
      </c>
      <c r="BD23" s="29">
        <v>0.81058424597018708</v>
      </c>
      <c r="BE23" s="29">
        <v>0.71892373343192617</v>
      </c>
      <c r="BF23" s="29">
        <v>0.56552543869953709</v>
      </c>
      <c r="BG23" s="29">
        <v>0.4</v>
      </c>
      <c r="BH23" s="29">
        <v>0.4</v>
      </c>
      <c r="BI23" s="29">
        <v>0.4</v>
      </c>
      <c r="BJ23" s="30">
        <v>0.4</v>
      </c>
      <c r="BL23" s="31">
        <f>V3</f>
        <v>145465.51988418738</v>
      </c>
    </row>
    <row r="24" spans="33:69">
      <c r="AG24" s="28">
        <v>0.96947508801495963</v>
      </c>
      <c r="AH24" s="21">
        <v>0.999</v>
      </c>
      <c r="AI24" s="21">
        <v>0.96947508801495963</v>
      </c>
      <c r="AJ24" s="21">
        <v>0.91301725408595691</v>
      </c>
      <c r="AK24" s="21">
        <v>0.8598472684486328</v>
      </c>
      <c r="AL24" s="21">
        <v>0.76261611484251635</v>
      </c>
      <c r="AM24" s="21">
        <v>0.5649599132608375</v>
      </c>
      <c r="AN24" s="21">
        <v>0.41853259769839135</v>
      </c>
      <c r="AO24" s="21">
        <v>0.39960000000000001</v>
      </c>
      <c r="AP24" s="21">
        <v>0.39960000000000001</v>
      </c>
      <c r="AQ24" s="32">
        <v>0.96947508801495963</v>
      </c>
      <c r="AR24" s="32">
        <v>0.999</v>
      </c>
      <c r="AS24" s="32">
        <v>0.96947508801495963</v>
      </c>
      <c r="AT24" s="32">
        <v>0.91301725408595691</v>
      </c>
      <c r="AU24" s="32">
        <v>0.8598472684486328</v>
      </c>
      <c r="AV24" s="32">
        <v>0.76261611484251635</v>
      </c>
      <c r="AW24" s="32">
        <v>0.5649599132608375</v>
      </c>
      <c r="AX24" s="32">
        <v>0.41853259769839135</v>
      </c>
      <c r="AY24" s="32">
        <v>0.39960000000000001</v>
      </c>
      <c r="AZ24" s="32">
        <v>0.39960000000000001</v>
      </c>
      <c r="BA24" s="29">
        <v>0.97044553354850815</v>
      </c>
      <c r="BB24" s="29">
        <v>1</v>
      </c>
      <c r="BC24" s="29">
        <v>0.97044553354850815</v>
      </c>
      <c r="BD24" s="29">
        <v>0.91393118527122819</v>
      </c>
      <c r="BE24" s="29">
        <v>0.86070797642505781</v>
      </c>
      <c r="BF24" s="29">
        <v>0.76337949433685315</v>
      </c>
      <c r="BG24" s="29">
        <v>0.56552543869953709</v>
      </c>
      <c r="BH24" s="29">
        <v>0.418951549247639</v>
      </c>
      <c r="BI24" s="29">
        <v>0.4</v>
      </c>
      <c r="BJ24" s="30">
        <v>0.4</v>
      </c>
      <c r="BL24" s="31">
        <f>W3</f>
        <v>-331078.93059245823</v>
      </c>
    </row>
    <row r="25" spans="33:69">
      <c r="AG25" s="28">
        <v>0.91301725408595691</v>
      </c>
      <c r="AH25" s="21">
        <v>0.96947508801495963</v>
      </c>
      <c r="AI25" s="21">
        <v>0.999</v>
      </c>
      <c r="AJ25" s="21">
        <v>0.96947508801495963</v>
      </c>
      <c r="AK25" s="21">
        <v>0.94082276905066442</v>
      </c>
      <c r="AL25" s="21">
        <v>0.88603351628044036</v>
      </c>
      <c r="AM25" s="21">
        <v>0.76261611484251635</v>
      </c>
      <c r="AN25" s="21">
        <v>0.6563897729952417</v>
      </c>
      <c r="AO25" s="21">
        <v>0.5649599132608375</v>
      </c>
      <c r="AP25" s="21">
        <v>0.41853259769839135</v>
      </c>
      <c r="AQ25" s="20">
        <v>0.91301725408595691</v>
      </c>
      <c r="AR25" s="20">
        <v>0.96947508801495963</v>
      </c>
      <c r="AS25" s="20">
        <v>0.999</v>
      </c>
      <c r="AT25" s="20">
        <v>0.96947508801495963</v>
      </c>
      <c r="AU25" s="20">
        <v>0.94082276905066442</v>
      </c>
      <c r="AV25" s="20">
        <v>0.88603351628044036</v>
      </c>
      <c r="AW25" s="20">
        <v>0.76261611484251635</v>
      </c>
      <c r="AX25" s="20">
        <v>0.6563897729952417</v>
      </c>
      <c r="AY25" s="20">
        <v>0.5649599132608375</v>
      </c>
      <c r="AZ25" s="20">
        <v>0.41853259769839135</v>
      </c>
      <c r="BA25" s="29">
        <v>0.91393118527122819</v>
      </c>
      <c r="BB25" s="29">
        <v>0.97044553354850815</v>
      </c>
      <c r="BC25" s="29">
        <v>1</v>
      </c>
      <c r="BD25" s="29">
        <v>0.97044553354850815</v>
      </c>
      <c r="BE25" s="29">
        <v>0.94176453358424872</v>
      </c>
      <c r="BF25" s="29">
        <v>0.88692043671715748</v>
      </c>
      <c r="BG25" s="29">
        <v>0.76337949433685315</v>
      </c>
      <c r="BH25" s="29">
        <v>0.65704681981505675</v>
      </c>
      <c r="BI25" s="29">
        <v>0.56552543869953709</v>
      </c>
      <c r="BJ25" s="30">
        <v>0.418951549247639</v>
      </c>
      <c r="BL25" s="31">
        <f>X3</f>
        <v>448629.68422889704</v>
      </c>
    </row>
    <row r="26" spans="33:69" ht="16" thickBot="1">
      <c r="AG26" s="28">
        <v>0.80977366172421694</v>
      </c>
      <c r="AH26" s="21">
        <v>0.91301725408595691</v>
      </c>
      <c r="AI26" s="21">
        <v>0.96947508801495963</v>
      </c>
      <c r="AJ26" s="21">
        <v>0.999</v>
      </c>
      <c r="AK26" s="21">
        <v>0.9841268276634596</v>
      </c>
      <c r="AL26" s="21">
        <v>0.9550414843512669</v>
      </c>
      <c r="AM26" s="21">
        <v>0.88603351628044036</v>
      </c>
      <c r="AN26" s="21">
        <v>0.82201182339796242</v>
      </c>
      <c r="AO26" s="21">
        <v>0.76261611484251635</v>
      </c>
      <c r="AP26" s="21">
        <v>0.6563897729952417</v>
      </c>
      <c r="AQ26" s="20">
        <v>0.80977366172421694</v>
      </c>
      <c r="AR26" s="20">
        <v>0.91301725408595691</v>
      </c>
      <c r="AS26" s="20">
        <v>0.96947508801495963</v>
      </c>
      <c r="AT26" s="20">
        <v>0.999</v>
      </c>
      <c r="AU26" s="20">
        <v>0.9841268276634596</v>
      </c>
      <c r="AV26" s="20">
        <v>0.9550414843512669</v>
      </c>
      <c r="AW26" s="20">
        <v>0.88603351628044036</v>
      </c>
      <c r="AX26" s="20">
        <v>0.82201182339796242</v>
      </c>
      <c r="AY26" s="20">
        <v>0.76261611484251635</v>
      </c>
      <c r="AZ26" s="20">
        <v>0.6563897729952417</v>
      </c>
      <c r="BA26" s="29">
        <v>0.81058424597018708</v>
      </c>
      <c r="BB26" s="29">
        <v>0.91393118527122819</v>
      </c>
      <c r="BC26" s="29">
        <v>0.97044553354850815</v>
      </c>
      <c r="BD26" s="29">
        <v>1</v>
      </c>
      <c r="BE26" s="29">
        <v>0.98511193960306265</v>
      </c>
      <c r="BF26" s="29">
        <v>0.95599748183309996</v>
      </c>
      <c r="BG26" s="29">
        <v>0.88692043671715748</v>
      </c>
      <c r="BH26" s="29">
        <v>0.82283465805601841</v>
      </c>
      <c r="BI26" s="29">
        <v>0.76337949433685315</v>
      </c>
      <c r="BJ26" s="30">
        <v>0.65704681981505675</v>
      </c>
      <c r="BL26" s="31">
        <f>Y3</f>
        <v>0</v>
      </c>
    </row>
    <row r="27" spans="33:69">
      <c r="AG27" s="28">
        <v>0.71820480969849421</v>
      </c>
      <c r="AH27" s="21">
        <v>0.8598472684486328</v>
      </c>
      <c r="AI27" s="21">
        <v>0.94082276905066442</v>
      </c>
      <c r="AJ27" s="21">
        <v>0.9841268276634596</v>
      </c>
      <c r="AK27" s="21">
        <v>0.999</v>
      </c>
      <c r="AL27" s="21">
        <v>0.97921847463344847</v>
      </c>
      <c r="AM27" s="21">
        <v>0.93146142608604232</v>
      </c>
      <c r="AN27" s="21">
        <v>0.88603351628044036</v>
      </c>
      <c r="AO27" s="21">
        <v>0.84282115177978734</v>
      </c>
      <c r="AP27" s="21">
        <v>0.76261611484251646</v>
      </c>
      <c r="AQ27" s="20">
        <v>0.71820480969849421</v>
      </c>
      <c r="AR27" s="20">
        <v>0.8598472684486328</v>
      </c>
      <c r="AS27" s="20">
        <v>0.94082276905066442</v>
      </c>
      <c r="AT27" s="20">
        <v>0.9841268276634596</v>
      </c>
      <c r="AU27" s="20">
        <v>0.999</v>
      </c>
      <c r="AV27" s="20">
        <v>0.97921847463344847</v>
      </c>
      <c r="AW27" s="20">
        <v>0.93146142608604232</v>
      </c>
      <c r="AX27" s="20">
        <v>0.88603351628044036</v>
      </c>
      <c r="AY27" s="20">
        <v>0.84282115177978734</v>
      </c>
      <c r="AZ27" s="20">
        <v>0.76261611484251646</v>
      </c>
      <c r="BA27" s="29">
        <v>0.71892373343192617</v>
      </c>
      <c r="BB27" s="29">
        <v>0.86070797642505781</v>
      </c>
      <c r="BC27" s="29">
        <v>0.94176453358424872</v>
      </c>
      <c r="BD27" s="29">
        <v>0.98511193960306265</v>
      </c>
      <c r="BE27" s="29">
        <v>1</v>
      </c>
      <c r="BF27" s="29">
        <v>0.98019867330675525</v>
      </c>
      <c r="BG27" s="29">
        <v>0.93239381990594827</v>
      </c>
      <c r="BH27" s="29">
        <v>0.88692043671715748</v>
      </c>
      <c r="BI27" s="29">
        <v>0.8436648165963837</v>
      </c>
      <c r="BJ27" s="30">
        <v>0.76337949433685326</v>
      </c>
      <c r="BL27" s="31">
        <f>Z3</f>
        <v>0</v>
      </c>
      <c r="BN27" s="44"/>
      <c r="BO27" s="53" t="s">
        <v>9</v>
      </c>
      <c r="BQ27" s="5" t="s">
        <v>53</v>
      </c>
    </row>
    <row r="28" spans="33:69">
      <c r="AG28" s="28">
        <v>0.5649599132608375</v>
      </c>
      <c r="AH28" s="21">
        <v>0.76261611484251635</v>
      </c>
      <c r="AI28" s="21">
        <v>0.88603351628044036</v>
      </c>
      <c r="AJ28" s="21">
        <v>0.9550414843512669</v>
      </c>
      <c r="AK28" s="21">
        <v>0.97921847463344847</v>
      </c>
      <c r="AL28" s="21">
        <v>0.999</v>
      </c>
      <c r="AM28" s="21">
        <v>0.96947508801495963</v>
      </c>
      <c r="AN28" s="21">
        <v>0.94082276905066442</v>
      </c>
      <c r="AO28" s="21">
        <v>0.91301725408595691</v>
      </c>
      <c r="AP28" s="21">
        <v>0.8598472684486328</v>
      </c>
      <c r="AQ28" s="20">
        <v>0.5649599132608375</v>
      </c>
      <c r="AR28" s="20">
        <v>0.76261611484251635</v>
      </c>
      <c r="AS28" s="20">
        <v>0.88603351628044036</v>
      </c>
      <c r="AT28" s="20">
        <v>0.9550414843512669</v>
      </c>
      <c r="AU28" s="20">
        <v>0.97921847463344847</v>
      </c>
      <c r="AV28" s="20">
        <v>0.999</v>
      </c>
      <c r="AW28" s="20">
        <v>0.96947508801495963</v>
      </c>
      <c r="AX28" s="20">
        <v>0.94082276905066442</v>
      </c>
      <c r="AY28" s="20">
        <v>0.91301725408595691</v>
      </c>
      <c r="AZ28" s="20">
        <v>0.8598472684486328</v>
      </c>
      <c r="BA28" s="29">
        <v>0.56552543869953709</v>
      </c>
      <c r="BB28" s="29">
        <v>0.76337949433685315</v>
      </c>
      <c r="BC28" s="29">
        <v>0.88692043671715748</v>
      </c>
      <c r="BD28" s="29">
        <v>0.95599748183309996</v>
      </c>
      <c r="BE28" s="29">
        <v>0.98019867330675525</v>
      </c>
      <c r="BF28" s="29">
        <v>1</v>
      </c>
      <c r="BG28" s="29">
        <v>0.97044553354850815</v>
      </c>
      <c r="BH28" s="29">
        <v>0.94176453358424872</v>
      </c>
      <c r="BI28" s="29">
        <v>0.91393118527122819</v>
      </c>
      <c r="BJ28" s="30">
        <v>0.86070797642505781</v>
      </c>
      <c r="BL28" s="31">
        <f>AA3</f>
        <v>0</v>
      </c>
      <c r="BN28" s="46" t="s">
        <v>6</v>
      </c>
      <c r="BO28" s="50">
        <f>BL36</f>
        <v>18292168.336977016</v>
      </c>
    </row>
    <row r="29" spans="33:69">
      <c r="AG29" s="28">
        <v>0.39960000000000001</v>
      </c>
      <c r="AH29" s="21">
        <v>0.5649599132608375</v>
      </c>
      <c r="AI29" s="21">
        <v>0.76261611484251635</v>
      </c>
      <c r="AJ29" s="21">
        <v>0.88603351628044036</v>
      </c>
      <c r="AK29" s="21">
        <v>0.93146142608604232</v>
      </c>
      <c r="AL29" s="21">
        <v>0.96947508801495963</v>
      </c>
      <c r="AM29" s="21">
        <v>0.999</v>
      </c>
      <c r="AN29" s="21">
        <v>0.9841268276634596</v>
      </c>
      <c r="AO29" s="21">
        <v>0.96947508801495963</v>
      </c>
      <c r="AP29" s="21">
        <v>0.94082276905066442</v>
      </c>
      <c r="AQ29" s="20">
        <v>0.39960000000000001</v>
      </c>
      <c r="AR29" s="20">
        <v>0.5649599132608375</v>
      </c>
      <c r="AS29" s="20">
        <v>0.76261611484251635</v>
      </c>
      <c r="AT29" s="20">
        <v>0.88603351628044036</v>
      </c>
      <c r="AU29" s="20">
        <v>0.93146142608604232</v>
      </c>
      <c r="AV29" s="20">
        <v>0.96947508801495963</v>
      </c>
      <c r="AW29" s="20">
        <v>0.999</v>
      </c>
      <c r="AX29" s="20">
        <v>0.9841268276634596</v>
      </c>
      <c r="AY29" s="20">
        <v>0.96947508801495963</v>
      </c>
      <c r="AZ29" s="20">
        <v>0.94082276905066442</v>
      </c>
      <c r="BA29" s="29">
        <v>0.4</v>
      </c>
      <c r="BB29" s="29">
        <v>0.56552543869953709</v>
      </c>
      <c r="BC29" s="29">
        <v>0.76337949433685315</v>
      </c>
      <c r="BD29" s="29">
        <v>0.88692043671715748</v>
      </c>
      <c r="BE29" s="29">
        <v>0.93239381990594827</v>
      </c>
      <c r="BF29" s="29">
        <v>0.97044553354850815</v>
      </c>
      <c r="BG29" s="29">
        <v>1</v>
      </c>
      <c r="BH29" s="29">
        <v>0.98511193960306265</v>
      </c>
      <c r="BI29" s="29">
        <v>0.97044553354850815</v>
      </c>
      <c r="BJ29" s="30">
        <v>0.94176453358424872</v>
      </c>
      <c r="BL29" s="31">
        <f>AB3</f>
        <v>0</v>
      </c>
      <c r="BN29" s="47" t="s">
        <v>7</v>
      </c>
      <c r="BO29" s="51">
        <f>BL71</f>
        <v>19403527.853912886</v>
      </c>
    </row>
    <row r="30" spans="33:69">
      <c r="AG30" s="28">
        <v>0.39960000000000001</v>
      </c>
      <c r="AH30" s="21">
        <v>0.41853259769839135</v>
      </c>
      <c r="AI30" s="21">
        <v>0.6563897729952417</v>
      </c>
      <c r="AJ30" s="21">
        <v>0.82201182339796242</v>
      </c>
      <c r="AK30" s="21">
        <v>0.88603351628044036</v>
      </c>
      <c r="AL30" s="21">
        <v>0.94082276905066442</v>
      </c>
      <c r="AM30" s="21">
        <v>0.9841268276634596</v>
      </c>
      <c r="AN30" s="21">
        <v>0.999</v>
      </c>
      <c r="AO30" s="21">
        <v>0.98905978391541893</v>
      </c>
      <c r="AP30" s="21">
        <v>0.96947508801495963</v>
      </c>
      <c r="AQ30" s="20">
        <v>0.39960000000000001</v>
      </c>
      <c r="AR30" s="20">
        <v>0.41853259769839135</v>
      </c>
      <c r="AS30" s="20">
        <v>0.6563897729952417</v>
      </c>
      <c r="AT30" s="20">
        <v>0.82201182339796242</v>
      </c>
      <c r="AU30" s="20">
        <v>0.88603351628044036</v>
      </c>
      <c r="AV30" s="20">
        <v>0.94082276905066442</v>
      </c>
      <c r="AW30" s="20">
        <v>0.9841268276634596</v>
      </c>
      <c r="AX30" s="20">
        <v>0.999</v>
      </c>
      <c r="AY30" s="20">
        <v>0.98905978391541893</v>
      </c>
      <c r="AZ30" s="20">
        <v>0.96947508801495963</v>
      </c>
      <c r="BA30" s="29">
        <v>0.4</v>
      </c>
      <c r="BB30" s="29">
        <v>0.418951549247639</v>
      </c>
      <c r="BC30" s="29">
        <v>0.65704681981505675</v>
      </c>
      <c r="BD30" s="29">
        <v>0.82283465805601841</v>
      </c>
      <c r="BE30" s="29">
        <v>0.88692043671715748</v>
      </c>
      <c r="BF30" s="29">
        <v>0.94176453358424872</v>
      </c>
      <c r="BG30" s="29">
        <v>0.98511193960306265</v>
      </c>
      <c r="BH30" s="29">
        <v>1</v>
      </c>
      <c r="BI30" s="29">
        <v>0.99004983374916811</v>
      </c>
      <c r="BJ30" s="30">
        <v>0.97044553354850815</v>
      </c>
      <c r="BL30" s="31">
        <f>AC3</f>
        <v>0</v>
      </c>
      <c r="BN30" s="48" t="s">
        <v>8</v>
      </c>
      <c r="BO30" s="52">
        <f>BL106</f>
        <v>17108768.271241382</v>
      </c>
    </row>
    <row r="31" spans="33:69" ht="16" thickBot="1">
      <c r="AG31" s="28">
        <v>0.39960000000000001</v>
      </c>
      <c r="AH31" s="21">
        <v>0.39960000000000001</v>
      </c>
      <c r="AI31" s="21">
        <v>0.5649599132608375</v>
      </c>
      <c r="AJ31" s="21">
        <v>0.76261611484251635</v>
      </c>
      <c r="AK31" s="21">
        <v>0.84282115177978734</v>
      </c>
      <c r="AL31" s="21">
        <v>0.91301725408595691</v>
      </c>
      <c r="AM31" s="21">
        <v>0.96947508801495963</v>
      </c>
      <c r="AN31" s="21">
        <v>0.98905978391541893</v>
      </c>
      <c r="AO31" s="21">
        <v>0.999</v>
      </c>
      <c r="AP31" s="21">
        <v>0.9841268276634596</v>
      </c>
      <c r="AQ31" s="20">
        <v>0.39960000000000001</v>
      </c>
      <c r="AR31" s="20">
        <v>0.39960000000000001</v>
      </c>
      <c r="AS31" s="20">
        <v>0.5649599132608375</v>
      </c>
      <c r="AT31" s="20">
        <v>0.76261611484251635</v>
      </c>
      <c r="AU31" s="20">
        <v>0.84282115177978734</v>
      </c>
      <c r="AV31" s="20">
        <v>0.91301725408595691</v>
      </c>
      <c r="AW31" s="20">
        <v>0.96947508801495963</v>
      </c>
      <c r="AX31" s="20">
        <v>0.98905978391541893</v>
      </c>
      <c r="AY31" s="20">
        <v>0.999</v>
      </c>
      <c r="AZ31" s="20">
        <v>0.9841268276634596</v>
      </c>
      <c r="BA31" s="29">
        <v>0.4</v>
      </c>
      <c r="BB31" s="29">
        <v>0.4</v>
      </c>
      <c r="BC31" s="29">
        <v>0.56552543869953709</v>
      </c>
      <c r="BD31" s="29">
        <v>0.76337949433685315</v>
      </c>
      <c r="BE31" s="29">
        <v>0.8436648165963837</v>
      </c>
      <c r="BF31" s="29">
        <v>0.91393118527122819</v>
      </c>
      <c r="BG31" s="29">
        <v>0.97044553354850815</v>
      </c>
      <c r="BH31" s="29">
        <v>0.99004983374916811</v>
      </c>
      <c r="BI31" s="29">
        <v>1</v>
      </c>
      <c r="BJ31" s="30">
        <v>0.98511193960306265</v>
      </c>
      <c r="BL31" s="31">
        <f>AD3</f>
        <v>0</v>
      </c>
      <c r="BN31" s="49" t="s">
        <v>10</v>
      </c>
      <c r="BO31" s="45">
        <f>MAX(BO28:BO30)</f>
        <v>19403527.853912886</v>
      </c>
    </row>
    <row r="32" spans="33:69" ht="16" thickBot="1">
      <c r="AG32" s="33">
        <v>0.39960000000000001</v>
      </c>
      <c r="AH32" s="34">
        <v>0.39960000000000001</v>
      </c>
      <c r="AI32" s="34">
        <v>0.41853259769839135</v>
      </c>
      <c r="AJ32" s="34">
        <v>0.6563897729952417</v>
      </c>
      <c r="AK32" s="34">
        <v>0.76261611484251646</v>
      </c>
      <c r="AL32" s="34">
        <v>0.8598472684486328</v>
      </c>
      <c r="AM32" s="34">
        <v>0.94082276905066442</v>
      </c>
      <c r="AN32" s="34">
        <v>0.96947508801495963</v>
      </c>
      <c r="AO32" s="34">
        <v>0.9841268276634596</v>
      </c>
      <c r="AP32" s="34">
        <v>0.999</v>
      </c>
      <c r="AQ32" s="35">
        <v>0.39960000000000001</v>
      </c>
      <c r="AR32" s="35">
        <v>0.39960000000000001</v>
      </c>
      <c r="AS32" s="35">
        <v>0.41853259769839135</v>
      </c>
      <c r="AT32" s="35">
        <v>0.6563897729952417</v>
      </c>
      <c r="AU32" s="35">
        <v>0.76261611484251646</v>
      </c>
      <c r="AV32" s="35">
        <v>0.8598472684486328</v>
      </c>
      <c r="AW32" s="35">
        <v>0.94082276905066442</v>
      </c>
      <c r="AX32" s="35">
        <v>0.96947508801495963</v>
      </c>
      <c r="AY32" s="35">
        <v>0.9841268276634596</v>
      </c>
      <c r="AZ32" s="35">
        <v>0.999</v>
      </c>
      <c r="BA32" s="36">
        <v>0.4</v>
      </c>
      <c r="BB32" s="36">
        <v>0.4</v>
      </c>
      <c r="BC32" s="36">
        <v>0.418951549247639</v>
      </c>
      <c r="BD32" s="36">
        <v>0.65704681981505675</v>
      </c>
      <c r="BE32" s="36">
        <v>0.76337949433685326</v>
      </c>
      <c r="BF32" s="36">
        <v>0.86070797642505781</v>
      </c>
      <c r="BG32" s="36">
        <v>0.94176453358424872</v>
      </c>
      <c r="BH32" s="36">
        <v>0.97044553354850815</v>
      </c>
      <c r="BI32" s="36">
        <v>0.98511193960306265</v>
      </c>
      <c r="BJ32" s="37">
        <v>1</v>
      </c>
      <c r="BL32" s="38">
        <f>AE3</f>
        <v>0</v>
      </c>
    </row>
    <row r="33" spans="2:64" ht="16" thickBot="1"/>
    <row r="34" spans="2:64" ht="16" thickBot="1">
      <c r="AG34" s="39">
        <f t="array" ref="AG34:BJ34">MMULT(B3:AE3,AG3:BJ32)</f>
        <v>-81981745.740017518</v>
      </c>
      <c r="AH34" s="40">
        <v>-78816533.033477247</v>
      </c>
      <c r="AI34" s="40">
        <v>-75864173.528072298</v>
      </c>
      <c r="AJ34" s="40">
        <v>-68974733.118166164</v>
      </c>
      <c r="AK34" s="40">
        <v>-62317506.307266846</v>
      </c>
      <c r="AL34" s="40">
        <v>-50846072.903294414</v>
      </c>
      <c r="AM34" s="40">
        <v>-38340557.215323761</v>
      </c>
      <c r="AN34" s="40">
        <v>-38258282.092951797</v>
      </c>
      <c r="AO34" s="40">
        <v>-38196359.038031124</v>
      </c>
      <c r="AP34" s="40">
        <v>-38014403.615123972</v>
      </c>
      <c r="AQ34" s="40">
        <v>-80216401.420826077</v>
      </c>
      <c r="AR34" s="40">
        <v>-78884720.497522756</v>
      </c>
      <c r="AS34" s="40">
        <v>-75926784.073353425</v>
      </c>
      <c r="AT34" s="40">
        <v>-69028617.764913574</v>
      </c>
      <c r="AU34" s="40">
        <v>-62364184.756965891</v>
      </c>
      <c r="AV34" s="40">
        <v>-50881011.014429316</v>
      </c>
      <c r="AW34" s="40">
        <v>-38362938.010854773</v>
      </c>
      <c r="AX34" s="40">
        <v>-38280731.205301426</v>
      </c>
      <c r="AY34" s="40">
        <v>-38218892.156531326</v>
      </c>
      <c r="AZ34" s="40">
        <v>-38037160.55684536</v>
      </c>
      <c r="BA34" s="40">
        <v>-80140299.22333914</v>
      </c>
      <c r="BB34" s="40">
        <v>-78810813.60383442</v>
      </c>
      <c r="BC34" s="40">
        <v>-75857121.72141926</v>
      </c>
      <c r="BD34" s="40">
        <v>-68966781.358418047</v>
      </c>
      <c r="BE34" s="40">
        <v>-62309296.397107303</v>
      </c>
      <c r="BF34" s="40">
        <v>-50837756.385889187</v>
      </c>
      <c r="BG34" s="40">
        <v>-38332242.05890502</v>
      </c>
      <c r="BH34" s="40">
        <v>-38250041.000902288</v>
      </c>
      <c r="BI34" s="40">
        <v>-38188243.073484756</v>
      </c>
      <c r="BJ34" s="41">
        <v>-38006589.149076506</v>
      </c>
      <c r="BL34" s="42">
        <f t="array" ref="BL34">MMULT(AG34:BJ34,BL3:BL32)</f>
        <v>334603422468304.56</v>
      </c>
    </row>
    <row r="35" spans="2:64" ht="16" thickBot="1"/>
    <row r="36" spans="2:64" ht="16" thickBot="1">
      <c r="BL36" s="43">
        <f>SQRT(BL34)</f>
        <v>18292168.336977016</v>
      </c>
    </row>
    <row r="37" spans="2:64" ht="16" thickBot="1">
      <c r="AG37" s="54" t="s">
        <v>7</v>
      </c>
    </row>
    <row r="38" spans="2:64" ht="16" thickBot="1">
      <c r="B38" s="6">
        <f>B3</f>
        <v>-1289583.0103579159</v>
      </c>
      <c r="C38" s="7">
        <f t="shared" ref="C38:AE38" si="0">C3</f>
        <v>-2.4496018886566171E-3</v>
      </c>
      <c r="D38" s="7">
        <f t="shared" si="0"/>
        <v>-20596.949995756149</v>
      </c>
      <c r="E38" s="7">
        <f t="shared" si="0"/>
        <v>-492242.95445188868</v>
      </c>
      <c r="F38" s="7">
        <f t="shared" si="0"/>
        <v>-5.9572979807853678E-2</v>
      </c>
      <c r="G38" s="7">
        <f t="shared" si="0"/>
        <v>-20197.626650854942</v>
      </c>
      <c r="H38" s="7">
        <f t="shared" si="0"/>
        <v>-5245839.5390330814</v>
      </c>
      <c r="I38" s="7">
        <f t="shared" si="0"/>
        <v>-42195.410498939447</v>
      </c>
      <c r="J38" s="7">
        <f t="shared" si="0"/>
        <v>-1882212.5290493111</v>
      </c>
      <c r="K38" s="7">
        <f t="shared" si="0"/>
        <v>0</v>
      </c>
      <c r="L38" s="8">
        <f t="shared" si="0"/>
        <v>-75751779.007127717</v>
      </c>
      <c r="M38" s="8">
        <f t="shared" si="0"/>
        <v>280.511037184624</v>
      </c>
      <c r="N38" s="8">
        <f t="shared" si="0"/>
        <v>1470.1558178663261</v>
      </c>
      <c r="O38" s="8">
        <f t="shared" si="0"/>
        <v>-16449.785142964683</v>
      </c>
      <c r="P38" s="8">
        <f t="shared" si="0"/>
        <v>-59409.797171372928</v>
      </c>
      <c r="Q38" s="8">
        <f t="shared" si="0"/>
        <v>-93358.024354481604</v>
      </c>
      <c r="R38" s="8">
        <f t="shared" si="0"/>
        <v>-22512.061756365001</v>
      </c>
      <c r="S38" s="8">
        <f t="shared" si="0"/>
        <v>0</v>
      </c>
      <c r="T38" s="8">
        <f t="shared" si="0"/>
        <v>0</v>
      </c>
      <c r="U38" s="8">
        <f t="shared" si="0"/>
        <v>0</v>
      </c>
      <c r="V38" s="9">
        <f t="shared" si="0"/>
        <v>145465.51988418738</v>
      </c>
      <c r="W38" s="9">
        <f t="shared" si="0"/>
        <v>-331078.93059245823</v>
      </c>
      <c r="X38" s="9">
        <f t="shared" si="0"/>
        <v>448629.68422889704</v>
      </c>
      <c r="Y38" s="9">
        <f t="shared" si="0"/>
        <v>0</v>
      </c>
      <c r="Z38" s="9">
        <f t="shared" si="0"/>
        <v>0</v>
      </c>
      <c r="AA38" s="9">
        <f t="shared" si="0"/>
        <v>0</v>
      </c>
      <c r="AB38" s="9">
        <f t="shared" si="0"/>
        <v>0</v>
      </c>
      <c r="AC38" s="9">
        <f t="shared" si="0"/>
        <v>0</v>
      </c>
      <c r="AD38" s="9">
        <f t="shared" si="0"/>
        <v>0</v>
      </c>
      <c r="AE38" s="10">
        <f t="shared" si="0"/>
        <v>0</v>
      </c>
      <c r="AG38" s="12">
        <f>MIN(AG3*1.25, 1)</f>
        <v>1</v>
      </c>
      <c r="AH38" s="13">
        <f t="shared" ref="AH38:BJ46" si="1">MIN(AH3*1.25, 1)</f>
        <v>1</v>
      </c>
      <c r="AI38" s="13">
        <f t="shared" si="1"/>
        <v>1</v>
      </c>
      <c r="AJ38" s="13">
        <f t="shared" si="1"/>
        <v>1</v>
      </c>
      <c r="AK38" s="13">
        <f t="shared" si="1"/>
        <v>0.89865466678990769</v>
      </c>
      <c r="AL38" s="13">
        <f t="shared" si="1"/>
        <v>0.70690679837442139</v>
      </c>
      <c r="AM38" s="13">
        <f t="shared" si="1"/>
        <v>0.5</v>
      </c>
      <c r="AN38" s="13">
        <f t="shared" si="1"/>
        <v>0.5</v>
      </c>
      <c r="AO38" s="13">
        <f t="shared" si="1"/>
        <v>0.5</v>
      </c>
      <c r="AP38" s="13">
        <f t="shared" si="1"/>
        <v>0.5</v>
      </c>
      <c r="AQ38" s="14">
        <f t="shared" si="1"/>
        <v>1</v>
      </c>
      <c r="AR38" s="14">
        <f t="shared" si="1"/>
        <v>1</v>
      </c>
      <c r="AS38" s="14">
        <f t="shared" si="1"/>
        <v>1</v>
      </c>
      <c r="AT38" s="14">
        <f t="shared" si="1"/>
        <v>1</v>
      </c>
      <c r="AU38" s="14">
        <f t="shared" si="1"/>
        <v>0.89775601212311773</v>
      </c>
      <c r="AV38" s="14">
        <f t="shared" si="1"/>
        <v>0.7061998915760469</v>
      </c>
      <c r="AW38" s="14">
        <f t="shared" si="1"/>
        <v>0.4995</v>
      </c>
      <c r="AX38" s="14">
        <f t="shared" si="1"/>
        <v>0.4995</v>
      </c>
      <c r="AY38" s="14">
        <f t="shared" si="1"/>
        <v>0.4995</v>
      </c>
      <c r="AZ38" s="14">
        <f t="shared" si="1"/>
        <v>0.4995</v>
      </c>
      <c r="BA38" s="15">
        <f t="shared" si="1"/>
        <v>1</v>
      </c>
      <c r="BB38" s="15">
        <f t="shared" si="1"/>
        <v>1</v>
      </c>
      <c r="BC38" s="15">
        <f t="shared" si="1"/>
        <v>1</v>
      </c>
      <c r="BD38" s="15">
        <f t="shared" si="1"/>
        <v>1</v>
      </c>
      <c r="BE38" s="15">
        <f t="shared" si="1"/>
        <v>0.89775601212311773</v>
      </c>
      <c r="BF38" s="15">
        <f t="shared" si="1"/>
        <v>0.7061998915760469</v>
      </c>
      <c r="BG38" s="15">
        <f t="shared" si="1"/>
        <v>0.4995</v>
      </c>
      <c r="BH38" s="15">
        <f t="shared" si="1"/>
        <v>0.4995</v>
      </c>
      <c r="BI38" s="15">
        <f t="shared" si="1"/>
        <v>0.4995</v>
      </c>
      <c r="BJ38" s="16">
        <f t="shared" si="1"/>
        <v>0.4995</v>
      </c>
      <c r="BL38" s="17">
        <f>BL3</f>
        <v>-911872.89152704435</v>
      </c>
    </row>
    <row r="39" spans="2:64">
      <c r="AG39" s="18">
        <f t="shared" ref="AG39:AV67" si="2">MIN(AG4*1.25, 1)</f>
        <v>1</v>
      </c>
      <c r="AH39" s="19">
        <f t="shared" si="2"/>
        <v>1</v>
      </c>
      <c r="AI39" s="19">
        <f t="shared" si="2"/>
        <v>1</v>
      </c>
      <c r="AJ39" s="19">
        <f t="shared" si="2"/>
        <v>1</v>
      </c>
      <c r="AK39" s="19">
        <f t="shared" si="2"/>
        <v>1</v>
      </c>
      <c r="AL39" s="19">
        <f t="shared" si="2"/>
        <v>0.95422436792106646</v>
      </c>
      <c r="AM39" s="19">
        <f t="shared" si="2"/>
        <v>0.70690679837442139</v>
      </c>
      <c r="AN39" s="19">
        <f t="shared" si="2"/>
        <v>0.5236894365595488</v>
      </c>
      <c r="AO39" s="19">
        <f t="shared" si="2"/>
        <v>0.5</v>
      </c>
      <c r="AP39" s="19">
        <f t="shared" si="2"/>
        <v>0.5</v>
      </c>
      <c r="AQ39" s="20">
        <f t="shared" si="2"/>
        <v>1</v>
      </c>
      <c r="AR39" s="20">
        <f t="shared" si="2"/>
        <v>1</v>
      </c>
      <c r="AS39" s="20">
        <f t="shared" si="2"/>
        <v>1</v>
      </c>
      <c r="AT39" s="20">
        <f t="shared" si="2"/>
        <v>1</v>
      </c>
      <c r="AU39" s="20">
        <f t="shared" si="2"/>
        <v>1</v>
      </c>
      <c r="AV39" s="20">
        <f t="shared" si="2"/>
        <v>0.95327014355314543</v>
      </c>
      <c r="AW39" s="20">
        <f t="shared" si="1"/>
        <v>0.7061998915760469</v>
      </c>
      <c r="AX39" s="20">
        <f t="shared" si="1"/>
        <v>0.52316574712298913</v>
      </c>
      <c r="AY39" s="20">
        <f t="shared" si="1"/>
        <v>0.4995</v>
      </c>
      <c r="AZ39" s="20">
        <f t="shared" si="1"/>
        <v>0.4995</v>
      </c>
      <c r="BA39" s="21">
        <f t="shared" si="1"/>
        <v>1</v>
      </c>
      <c r="BB39" s="21">
        <f t="shared" si="1"/>
        <v>1</v>
      </c>
      <c r="BC39" s="21">
        <f t="shared" si="1"/>
        <v>1</v>
      </c>
      <c r="BD39" s="21">
        <f t="shared" si="1"/>
        <v>1</v>
      </c>
      <c r="BE39" s="21">
        <f t="shared" si="1"/>
        <v>1</v>
      </c>
      <c r="BF39" s="21">
        <f t="shared" si="1"/>
        <v>0.95327014355314543</v>
      </c>
      <c r="BG39" s="21">
        <f t="shared" si="1"/>
        <v>0.7061998915760469</v>
      </c>
      <c r="BH39" s="21">
        <f t="shared" si="1"/>
        <v>0.52316574712298913</v>
      </c>
      <c r="BI39" s="21">
        <f t="shared" si="1"/>
        <v>0.4995</v>
      </c>
      <c r="BJ39" s="22">
        <f t="shared" si="1"/>
        <v>0.4995</v>
      </c>
      <c r="BL39" s="23">
        <f t="shared" ref="BL39:BL67" si="3">BL4</f>
        <v>-1.7325779169418949E-3</v>
      </c>
    </row>
    <row r="40" spans="2:64">
      <c r="AG40" s="18">
        <f t="shared" si="2"/>
        <v>1</v>
      </c>
      <c r="AH40" s="19">
        <f t="shared" si="1"/>
        <v>1</v>
      </c>
      <c r="AI40" s="19">
        <f t="shared" si="1"/>
        <v>1</v>
      </c>
      <c r="AJ40" s="19">
        <f t="shared" si="1"/>
        <v>1</v>
      </c>
      <c r="AK40" s="19">
        <f t="shared" si="1"/>
        <v>1</v>
      </c>
      <c r="AL40" s="19">
        <f t="shared" si="1"/>
        <v>1</v>
      </c>
      <c r="AM40" s="19">
        <f t="shared" si="1"/>
        <v>0.95422436792106646</v>
      </c>
      <c r="AN40" s="19">
        <f t="shared" si="1"/>
        <v>0.82130852476882099</v>
      </c>
      <c r="AO40" s="19">
        <f t="shared" si="1"/>
        <v>0.70690679837442139</v>
      </c>
      <c r="AP40" s="19">
        <f t="shared" si="1"/>
        <v>0.5236894365595488</v>
      </c>
      <c r="AQ40" s="20">
        <f t="shared" si="1"/>
        <v>1</v>
      </c>
      <c r="AR40" s="20">
        <f t="shared" si="1"/>
        <v>1</v>
      </c>
      <c r="AS40" s="20">
        <f t="shared" si="1"/>
        <v>1</v>
      </c>
      <c r="AT40" s="20">
        <f t="shared" si="1"/>
        <v>1</v>
      </c>
      <c r="AU40" s="20">
        <f t="shared" si="1"/>
        <v>1</v>
      </c>
      <c r="AV40" s="20">
        <f t="shared" si="1"/>
        <v>1</v>
      </c>
      <c r="AW40" s="20">
        <f t="shared" si="1"/>
        <v>0.95327014355314543</v>
      </c>
      <c r="AX40" s="20">
        <f t="shared" si="1"/>
        <v>0.82048721624405219</v>
      </c>
      <c r="AY40" s="20">
        <f t="shared" si="1"/>
        <v>0.7061998915760469</v>
      </c>
      <c r="AZ40" s="20">
        <f t="shared" si="1"/>
        <v>0.52316574712298913</v>
      </c>
      <c r="BA40" s="21">
        <f t="shared" si="1"/>
        <v>1</v>
      </c>
      <c r="BB40" s="21">
        <f t="shared" si="1"/>
        <v>1</v>
      </c>
      <c r="BC40" s="21">
        <f t="shared" si="1"/>
        <v>1</v>
      </c>
      <c r="BD40" s="21">
        <f t="shared" si="1"/>
        <v>1</v>
      </c>
      <c r="BE40" s="21">
        <f t="shared" si="1"/>
        <v>1</v>
      </c>
      <c r="BF40" s="21">
        <f t="shared" si="1"/>
        <v>1</v>
      </c>
      <c r="BG40" s="21">
        <f t="shared" si="1"/>
        <v>0.95327014355314543</v>
      </c>
      <c r="BH40" s="21">
        <f t="shared" si="1"/>
        <v>0.82048721624405219</v>
      </c>
      <c r="BI40" s="21">
        <f t="shared" si="1"/>
        <v>0.7061998915760469</v>
      </c>
      <c r="BJ40" s="22">
        <f t="shared" si="1"/>
        <v>0.52316574712298913</v>
      </c>
      <c r="BL40" s="23">
        <f t="shared" si="3"/>
        <v>-14573.601196110776</v>
      </c>
    </row>
    <row r="41" spans="2:64">
      <c r="AG41" s="18">
        <f t="shared" si="2"/>
        <v>1</v>
      </c>
      <c r="AH41" s="19">
        <f t="shared" si="1"/>
        <v>1</v>
      </c>
      <c r="AI41" s="19">
        <f t="shared" si="1"/>
        <v>1</v>
      </c>
      <c r="AJ41" s="19">
        <f t="shared" si="1"/>
        <v>1</v>
      </c>
      <c r="AK41" s="19">
        <f t="shared" si="1"/>
        <v>1</v>
      </c>
      <c r="AL41" s="19">
        <f t="shared" si="1"/>
        <v>1</v>
      </c>
      <c r="AM41" s="19">
        <f t="shared" si="1"/>
        <v>1</v>
      </c>
      <c r="AN41" s="19">
        <f t="shared" si="1"/>
        <v>1</v>
      </c>
      <c r="AO41" s="19">
        <f t="shared" si="1"/>
        <v>0.95422436792106646</v>
      </c>
      <c r="AP41" s="19">
        <f t="shared" si="1"/>
        <v>0.82130852476882099</v>
      </c>
      <c r="AQ41" s="20">
        <f t="shared" si="1"/>
        <v>1</v>
      </c>
      <c r="AR41" s="20">
        <f t="shared" si="1"/>
        <v>1</v>
      </c>
      <c r="AS41" s="20">
        <f t="shared" si="1"/>
        <v>1</v>
      </c>
      <c r="AT41" s="20">
        <f t="shared" si="1"/>
        <v>1</v>
      </c>
      <c r="AU41" s="20">
        <f t="shared" si="1"/>
        <v>1</v>
      </c>
      <c r="AV41" s="20">
        <f t="shared" si="1"/>
        <v>1</v>
      </c>
      <c r="AW41" s="20">
        <f t="shared" si="1"/>
        <v>1</v>
      </c>
      <c r="AX41" s="20">
        <f t="shared" si="1"/>
        <v>1</v>
      </c>
      <c r="AY41" s="20">
        <f t="shared" si="1"/>
        <v>0.95327014355314543</v>
      </c>
      <c r="AZ41" s="20">
        <f t="shared" si="1"/>
        <v>0.82048721624405219</v>
      </c>
      <c r="BA41" s="21">
        <f t="shared" si="1"/>
        <v>1</v>
      </c>
      <c r="BB41" s="21">
        <f t="shared" si="1"/>
        <v>1</v>
      </c>
      <c r="BC41" s="21">
        <f t="shared" si="1"/>
        <v>1</v>
      </c>
      <c r="BD41" s="21">
        <f t="shared" si="1"/>
        <v>1</v>
      </c>
      <c r="BE41" s="21">
        <f t="shared" si="1"/>
        <v>1</v>
      </c>
      <c r="BF41" s="21">
        <f t="shared" si="1"/>
        <v>1</v>
      </c>
      <c r="BG41" s="21">
        <f t="shared" si="1"/>
        <v>1</v>
      </c>
      <c r="BH41" s="21">
        <f t="shared" si="1"/>
        <v>1</v>
      </c>
      <c r="BI41" s="21">
        <f t="shared" si="1"/>
        <v>0.95327014355314543</v>
      </c>
      <c r="BJ41" s="22">
        <f t="shared" si="1"/>
        <v>0.82048721624405219</v>
      </c>
      <c r="BL41" s="23">
        <f t="shared" si="3"/>
        <v>-347684.88259054522</v>
      </c>
    </row>
    <row r="42" spans="2:64">
      <c r="AG42" s="18">
        <f t="shared" si="2"/>
        <v>1</v>
      </c>
      <c r="AH42" s="19">
        <f t="shared" si="1"/>
        <v>1</v>
      </c>
      <c r="AI42" s="19">
        <f t="shared" si="1"/>
        <v>1</v>
      </c>
      <c r="AJ42" s="19">
        <f t="shared" si="1"/>
        <v>1</v>
      </c>
      <c r="AK42" s="19">
        <f t="shared" si="1"/>
        <v>1</v>
      </c>
      <c r="AL42" s="19">
        <f t="shared" si="1"/>
        <v>1</v>
      </c>
      <c r="AM42" s="19">
        <f t="shared" si="1"/>
        <v>1</v>
      </c>
      <c r="AN42" s="19">
        <f t="shared" si="1"/>
        <v>1</v>
      </c>
      <c r="AO42" s="19">
        <f t="shared" si="1"/>
        <v>1</v>
      </c>
      <c r="AP42" s="19">
        <f t="shared" si="1"/>
        <v>0.95422436792106657</v>
      </c>
      <c r="AQ42" s="20">
        <f t="shared" si="1"/>
        <v>0.89775601212311773</v>
      </c>
      <c r="AR42" s="20">
        <f t="shared" si="1"/>
        <v>1</v>
      </c>
      <c r="AS42" s="20">
        <f t="shared" si="1"/>
        <v>1</v>
      </c>
      <c r="AT42" s="20">
        <f t="shared" si="1"/>
        <v>1</v>
      </c>
      <c r="AU42" s="20">
        <f t="shared" si="1"/>
        <v>1</v>
      </c>
      <c r="AV42" s="20">
        <f t="shared" si="1"/>
        <v>1</v>
      </c>
      <c r="AW42" s="20">
        <f t="shared" si="1"/>
        <v>1</v>
      </c>
      <c r="AX42" s="20">
        <f t="shared" si="1"/>
        <v>1</v>
      </c>
      <c r="AY42" s="20">
        <f t="shared" si="1"/>
        <v>1</v>
      </c>
      <c r="AZ42" s="20">
        <f t="shared" si="1"/>
        <v>0.95327014355314554</v>
      </c>
      <c r="BA42" s="21">
        <f t="shared" si="1"/>
        <v>0.89775601212311773</v>
      </c>
      <c r="BB42" s="21">
        <f t="shared" si="1"/>
        <v>1</v>
      </c>
      <c r="BC42" s="21">
        <f t="shared" si="1"/>
        <v>1</v>
      </c>
      <c r="BD42" s="21">
        <f t="shared" si="1"/>
        <v>1</v>
      </c>
      <c r="BE42" s="21">
        <f t="shared" si="1"/>
        <v>1</v>
      </c>
      <c r="BF42" s="21">
        <f t="shared" si="1"/>
        <v>1</v>
      </c>
      <c r="BG42" s="21">
        <f t="shared" si="1"/>
        <v>1</v>
      </c>
      <c r="BH42" s="21">
        <f t="shared" si="1"/>
        <v>1</v>
      </c>
      <c r="BI42" s="21">
        <f t="shared" si="1"/>
        <v>1</v>
      </c>
      <c r="BJ42" s="22">
        <f t="shared" si="1"/>
        <v>0.95327014355314554</v>
      </c>
      <c r="BL42" s="23">
        <f t="shared" si="3"/>
        <v>-4.1947283183194947E-2</v>
      </c>
    </row>
    <row r="43" spans="2:64">
      <c r="AG43" s="18">
        <f t="shared" si="2"/>
        <v>1</v>
      </c>
      <c r="AH43" s="19">
        <f t="shared" si="1"/>
        <v>0.95422436792106646</v>
      </c>
      <c r="AI43" s="19">
        <f t="shared" si="1"/>
        <v>1</v>
      </c>
      <c r="AJ43" s="19">
        <f t="shared" si="1"/>
        <v>1</v>
      </c>
      <c r="AK43" s="19">
        <f t="shared" si="1"/>
        <v>1</v>
      </c>
      <c r="AL43" s="19">
        <f t="shared" si="1"/>
        <v>1</v>
      </c>
      <c r="AM43" s="19">
        <f t="shared" si="1"/>
        <v>1</v>
      </c>
      <c r="AN43" s="19">
        <f t="shared" si="1"/>
        <v>1</v>
      </c>
      <c r="AO43" s="19">
        <f t="shared" si="1"/>
        <v>1</v>
      </c>
      <c r="AP43" s="19">
        <f t="shared" si="1"/>
        <v>1</v>
      </c>
      <c r="AQ43" s="20">
        <f t="shared" si="1"/>
        <v>0.7061998915760469</v>
      </c>
      <c r="AR43" s="20">
        <f t="shared" si="1"/>
        <v>0.95327014355314543</v>
      </c>
      <c r="AS43" s="20">
        <f t="shared" si="1"/>
        <v>1</v>
      </c>
      <c r="AT43" s="20">
        <f t="shared" si="1"/>
        <v>1</v>
      </c>
      <c r="AU43" s="20">
        <f t="shared" si="1"/>
        <v>1</v>
      </c>
      <c r="AV43" s="20">
        <f t="shared" si="1"/>
        <v>1</v>
      </c>
      <c r="AW43" s="20">
        <f t="shared" si="1"/>
        <v>1</v>
      </c>
      <c r="AX43" s="20">
        <f t="shared" si="1"/>
        <v>1</v>
      </c>
      <c r="AY43" s="20">
        <f t="shared" si="1"/>
        <v>1</v>
      </c>
      <c r="AZ43" s="20">
        <f t="shared" si="1"/>
        <v>1</v>
      </c>
      <c r="BA43" s="21">
        <f t="shared" si="1"/>
        <v>0.7061998915760469</v>
      </c>
      <c r="BB43" s="21">
        <f t="shared" si="1"/>
        <v>0.95327014355314543</v>
      </c>
      <c r="BC43" s="21">
        <f t="shared" si="1"/>
        <v>1</v>
      </c>
      <c r="BD43" s="21">
        <f t="shared" si="1"/>
        <v>1</v>
      </c>
      <c r="BE43" s="21">
        <f t="shared" si="1"/>
        <v>1</v>
      </c>
      <c r="BF43" s="21">
        <f t="shared" si="1"/>
        <v>1</v>
      </c>
      <c r="BG43" s="21">
        <f t="shared" si="1"/>
        <v>1</v>
      </c>
      <c r="BH43" s="21">
        <f t="shared" si="1"/>
        <v>1</v>
      </c>
      <c r="BI43" s="21">
        <f t="shared" si="1"/>
        <v>1</v>
      </c>
      <c r="BJ43" s="22">
        <f t="shared" si="1"/>
        <v>1</v>
      </c>
      <c r="BL43" s="23">
        <f t="shared" si="3"/>
        <v>-14052.423417123753</v>
      </c>
    </row>
    <row r="44" spans="2:64">
      <c r="AG44" s="18">
        <f t="shared" si="2"/>
        <v>0.91538816536501855</v>
      </c>
      <c r="AH44" s="19">
        <f t="shared" si="1"/>
        <v>0.70690679837442139</v>
      </c>
      <c r="AI44" s="19">
        <f t="shared" si="1"/>
        <v>0.95422436792106646</v>
      </c>
      <c r="AJ44" s="19">
        <f t="shared" si="1"/>
        <v>1</v>
      </c>
      <c r="AK44" s="19">
        <f t="shared" si="1"/>
        <v>1</v>
      </c>
      <c r="AL44" s="19">
        <f t="shared" si="1"/>
        <v>1</v>
      </c>
      <c r="AM44" s="19">
        <f t="shared" si="1"/>
        <v>1</v>
      </c>
      <c r="AN44" s="19">
        <f t="shared" si="1"/>
        <v>1</v>
      </c>
      <c r="AO44" s="19">
        <f t="shared" si="1"/>
        <v>1</v>
      </c>
      <c r="AP44" s="19">
        <f t="shared" si="1"/>
        <v>1</v>
      </c>
      <c r="AQ44" s="20">
        <f t="shared" si="1"/>
        <v>0.4995</v>
      </c>
      <c r="AR44" s="20">
        <f t="shared" si="1"/>
        <v>0.7061998915760469</v>
      </c>
      <c r="AS44" s="20">
        <f t="shared" si="1"/>
        <v>0.95327014355314543</v>
      </c>
      <c r="AT44" s="20">
        <f t="shared" si="1"/>
        <v>1</v>
      </c>
      <c r="AU44" s="20">
        <f t="shared" si="1"/>
        <v>1</v>
      </c>
      <c r="AV44" s="20">
        <f t="shared" si="1"/>
        <v>1</v>
      </c>
      <c r="AW44" s="20">
        <f t="shared" si="1"/>
        <v>1</v>
      </c>
      <c r="AX44" s="20">
        <f t="shared" si="1"/>
        <v>1</v>
      </c>
      <c r="AY44" s="20">
        <f t="shared" si="1"/>
        <v>1</v>
      </c>
      <c r="AZ44" s="20">
        <f t="shared" si="1"/>
        <v>1</v>
      </c>
      <c r="BA44" s="21">
        <f t="shared" si="1"/>
        <v>0.4995</v>
      </c>
      <c r="BB44" s="21">
        <f t="shared" si="1"/>
        <v>0.7061998915760469</v>
      </c>
      <c r="BC44" s="21">
        <f t="shared" si="1"/>
        <v>0.95327014355314543</v>
      </c>
      <c r="BD44" s="21">
        <f t="shared" si="1"/>
        <v>1</v>
      </c>
      <c r="BE44" s="21">
        <f t="shared" si="1"/>
        <v>1</v>
      </c>
      <c r="BF44" s="21">
        <f t="shared" si="1"/>
        <v>1</v>
      </c>
      <c r="BG44" s="21">
        <f t="shared" si="1"/>
        <v>1</v>
      </c>
      <c r="BH44" s="21">
        <f t="shared" si="1"/>
        <v>1</v>
      </c>
      <c r="BI44" s="21">
        <f t="shared" si="1"/>
        <v>1</v>
      </c>
      <c r="BJ44" s="22">
        <f t="shared" si="1"/>
        <v>1</v>
      </c>
      <c r="BL44" s="23">
        <f t="shared" si="3"/>
        <v>-3546539.8350677057</v>
      </c>
    </row>
    <row r="45" spans="2:64">
      <c r="AG45" s="18">
        <f t="shared" si="2"/>
        <v>0.69673519331420875</v>
      </c>
      <c r="AH45" s="19">
        <f t="shared" si="1"/>
        <v>0.5236894365595488</v>
      </c>
      <c r="AI45" s="19">
        <f t="shared" si="1"/>
        <v>0.82130852476882099</v>
      </c>
      <c r="AJ45" s="19">
        <f t="shared" si="1"/>
        <v>1</v>
      </c>
      <c r="AK45" s="19">
        <f t="shared" si="1"/>
        <v>1</v>
      </c>
      <c r="AL45" s="19">
        <f t="shared" si="1"/>
        <v>1</v>
      </c>
      <c r="AM45" s="19">
        <f t="shared" si="1"/>
        <v>1</v>
      </c>
      <c r="AN45" s="19">
        <f t="shared" si="1"/>
        <v>1</v>
      </c>
      <c r="AO45" s="19">
        <f t="shared" si="1"/>
        <v>1</v>
      </c>
      <c r="AP45" s="19">
        <f t="shared" si="1"/>
        <v>1</v>
      </c>
      <c r="AQ45" s="20">
        <f t="shared" si="1"/>
        <v>0.4995</v>
      </c>
      <c r="AR45" s="20">
        <f t="shared" si="1"/>
        <v>0.52316574712298913</v>
      </c>
      <c r="AS45" s="20">
        <f t="shared" si="1"/>
        <v>0.82048721624405219</v>
      </c>
      <c r="AT45" s="20">
        <f t="shared" si="1"/>
        <v>1</v>
      </c>
      <c r="AU45" s="20">
        <f t="shared" si="1"/>
        <v>1</v>
      </c>
      <c r="AV45" s="20">
        <f t="shared" si="1"/>
        <v>1</v>
      </c>
      <c r="AW45" s="20">
        <f t="shared" si="1"/>
        <v>1</v>
      </c>
      <c r="AX45" s="20">
        <f t="shared" si="1"/>
        <v>1</v>
      </c>
      <c r="AY45" s="20">
        <f t="shared" si="1"/>
        <v>1</v>
      </c>
      <c r="AZ45" s="20">
        <f t="shared" si="1"/>
        <v>1</v>
      </c>
      <c r="BA45" s="21">
        <f t="shared" si="1"/>
        <v>0.4995</v>
      </c>
      <c r="BB45" s="21">
        <f t="shared" si="1"/>
        <v>0.52316574712298913</v>
      </c>
      <c r="BC45" s="21">
        <f t="shared" si="1"/>
        <v>0.82048721624405219</v>
      </c>
      <c r="BD45" s="21">
        <f t="shared" si="1"/>
        <v>1</v>
      </c>
      <c r="BE45" s="21">
        <f t="shared" si="1"/>
        <v>1</v>
      </c>
      <c r="BF45" s="21">
        <f t="shared" si="1"/>
        <v>1</v>
      </c>
      <c r="BG45" s="21">
        <f t="shared" si="1"/>
        <v>1</v>
      </c>
      <c r="BH45" s="21">
        <f t="shared" si="1"/>
        <v>1</v>
      </c>
      <c r="BI45" s="21">
        <f t="shared" si="1"/>
        <v>1</v>
      </c>
      <c r="BJ45" s="22">
        <f t="shared" si="1"/>
        <v>1</v>
      </c>
      <c r="BL45" s="23">
        <f t="shared" si="3"/>
        <v>-27828.153413970951</v>
      </c>
    </row>
    <row r="46" spans="2:64">
      <c r="AG46" s="18">
        <f t="shared" si="2"/>
        <v>0.5</v>
      </c>
      <c r="AH46" s="19">
        <f t="shared" si="1"/>
        <v>0.5</v>
      </c>
      <c r="AI46" s="19">
        <f t="shared" si="1"/>
        <v>0.70690679837442139</v>
      </c>
      <c r="AJ46" s="19">
        <f t="shared" si="1"/>
        <v>0.95422436792106646</v>
      </c>
      <c r="AK46" s="19">
        <f t="shared" si="1"/>
        <v>1</v>
      </c>
      <c r="AL46" s="19">
        <f t="shared" si="1"/>
        <v>1</v>
      </c>
      <c r="AM46" s="19">
        <f t="shared" si="1"/>
        <v>1</v>
      </c>
      <c r="AN46" s="19">
        <f t="shared" si="1"/>
        <v>1</v>
      </c>
      <c r="AO46" s="19">
        <f t="shared" si="1"/>
        <v>1</v>
      </c>
      <c r="AP46" s="19">
        <f t="shared" si="1"/>
        <v>1</v>
      </c>
      <c r="AQ46" s="20">
        <f t="shared" si="1"/>
        <v>0.4995</v>
      </c>
      <c r="AR46" s="20">
        <f t="shared" si="1"/>
        <v>0.4995</v>
      </c>
      <c r="AS46" s="20">
        <f t="shared" si="1"/>
        <v>0.7061998915760469</v>
      </c>
      <c r="AT46" s="20">
        <f t="shared" si="1"/>
        <v>0.95327014355314543</v>
      </c>
      <c r="AU46" s="20">
        <f t="shared" si="1"/>
        <v>1</v>
      </c>
      <c r="AV46" s="20">
        <f t="shared" ref="AH46:BJ54" si="4">MIN(AV11*1.25, 1)</f>
        <v>1</v>
      </c>
      <c r="AW46" s="20">
        <f t="shared" si="4"/>
        <v>1</v>
      </c>
      <c r="AX46" s="20">
        <f t="shared" si="4"/>
        <v>1</v>
      </c>
      <c r="AY46" s="20">
        <f t="shared" si="4"/>
        <v>1</v>
      </c>
      <c r="AZ46" s="20">
        <f t="shared" si="4"/>
        <v>1</v>
      </c>
      <c r="BA46" s="21">
        <f t="shared" si="4"/>
        <v>0.4995</v>
      </c>
      <c r="BB46" s="21">
        <f t="shared" si="4"/>
        <v>0.4995</v>
      </c>
      <c r="BC46" s="21">
        <f t="shared" si="4"/>
        <v>0.7061998915760469</v>
      </c>
      <c r="BD46" s="21">
        <f t="shared" si="4"/>
        <v>0.95327014355314543</v>
      </c>
      <c r="BE46" s="21">
        <f t="shared" si="4"/>
        <v>1</v>
      </c>
      <c r="BF46" s="21">
        <f t="shared" si="4"/>
        <v>1</v>
      </c>
      <c r="BG46" s="21">
        <f t="shared" si="4"/>
        <v>1</v>
      </c>
      <c r="BH46" s="21">
        <f t="shared" si="4"/>
        <v>1</v>
      </c>
      <c r="BI46" s="21">
        <f t="shared" si="4"/>
        <v>1</v>
      </c>
      <c r="BJ46" s="22">
        <f t="shared" si="4"/>
        <v>1</v>
      </c>
      <c r="BL46" s="23">
        <f t="shared" si="3"/>
        <v>-1183602.8459766759</v>
      </c>
    </row>
    <row r="47" spans="2:64">
      <c r="AG47" s="18">
        <f t="shared" si="2"/>
        <v>0.5</v>
      </c>
      <c r="AH47" s="19">
        <f t="shared" si="4"/>
        <v>0.5</v>
      </c>
      <c r="AI47" s="19">
        <f t="shared" si="4"/>
        <v>0.5236894365595488</v>
      </c>
      <c r="AJ47" s="19">
        <f t="shared" si="4"/>
        <v>0.82130852476882099</v>
      </c>
      <c r="AK47" s="19">
        <f t="shared" si="4"/>
        <v>0.95422436792106657</v>
      </c>
      <c r="AL47" s="19">
        <f t="shared" si="4"/>
        <v>1</v>
      </c>
      <c r="AM47" s="19">
        <f t="shared" si="4"/>
        <v>1</v>
      </c>
      <c r="AN47" s="19">
        <f t="shared" si="4"/>
        <v>1</v>
      </c>
      <c r="AO47" s="19">
        <f t="shared" si="4"/>
        <v>1</v>
      </c>
      <c r="AP47" s="19">
        <f t="shared" si="4"/>
        <v>1</v>
      </c>
      <c r="AQ47" s="20">
        <f t="shared" si="4"/>
        <v>0.4995</v>
      </c>
      <c r="AR47" s="20">
        <f t="shared" si="4"/>
        <v>0.4995</v>
      </c>
      <c r="AS47" s="20">
        <f t="shared" si="4"/>
        <v>0.52316574712298913</v>
      </c>
      <c r="AT47" s="20">
        <f t="shared" si="4"/>
        <v>0.82048721624405219</v>
      </c>
      <c r="AU47" s="20">
        <f t="shared" si="4"/>
        <v>0.95327014355314554</v>
      </c>
      <c r="AV47" s="20">
        <f t="shared" si="4"/>
        <v>1</v>
      </c>
      <c r="AW47" s="20">
        <f t="shared" si="4"/>
        <v>1</v>
      </c>
      <c r="AX47" s="20">
        <f t="shared" si="4"/>
        <v>1</v>
      </c>
      <c r="AY47" s="20">
        <f t="shared" si="4"/>
        <v>1</v>
      </c>
      <c r="AZ47" s="20">
        <f t="shared" si="4"/>
        <v>1</v>
      </c>
      <c r="BA47" s="21">
        <f t="shared" si="4"/>
        <v>0.4995</v>
      </c>
      <c r="BB47" s="21">
        <f t="shared" si="4"/>
        <v>0.4995</v>
      </c>
      <c r="BC47" s="21">
        <f t="shared" si="4"/>
        <v>0.52316574712298913</v>
      </c>
      <c r="BD47" s="21">
        <f t="shared" si="4"/>
        <v>0.82048721624405219</v>
      </c>
      <c r="BE47" s="21">
        <f t="shared" si="4"/>
        <v>0.95327014355314554</v>
      </c>
      <c r="BF47" s="21">
        <f t="shared" si="4"/>
        <v>1</v>
      </c>
      <c r="BG47" s="21">
        <f t="shared" si="4"/>
        <v>1</v>
      </c>
      <c r="BH47" s="21">
        <f t="shared" si="4"/>
        <v>1</v>
      </c>
      <c r="BI47" s="21">
        <f t="shared" si="4"/>
        <v>1</v>
      </c>
      <c r="BJ47" s="22">
        <f t="shared" si="4"/>
        <v>1</v>
      </c>
      <c r="BL47" s="23">
        <f t="shared" si="3"/>
        <v>0</v>
      </c>
    </row>
    <row r="48" spans="2:64">
      <c r="AG48" s="24">
        <f t="shared" si="2"/>
        <v>1</v>
      </c>
      <c r="AH48" s="20">
        <f t="shared" si="4"/>
        <v>1</v>
      </c>
      <c r="AI48" s="20">
        <f t="shared" si="4"/>
        <v>1</v>
      </c>
      <c r="AJ48" s="20">
        <f t="shared" si="4"/>
        <v>1</v>
      </c>
      <c r="AK48" s="20">
        <f t="shared" si="4"/>
        <v>0.89775601212311773</v>
      </c>
      <c r="AL48" s="20">
        <f t="shared" si="4"/>
        <v>0.7061998915760469</v>
      </c>
      <c r="AM48" s="20">
        <f t="shared" si="4"/>
        <v>0.4995</v>
      </c>
      <c r="AN48" s="20">
        <f t="shared" si="4"/>
        <v>0.4995</v>
      </c>
      <c r="AO48" s="20">
        <f t="shared" si="4"/>
        <v>0.4995</v>
      </c>
      <c r="AP48" s="20">
        <f t="shared" si="4"/>
        <v>0.4995</v>
      </c>
      <c r="AQ48" s="25">
        <f t="shared" si="4"/>
        <v>1</v>
      </c>
      <c r="AR48" s="25">
        <f t="shared" si="4"/>
        <v>1</v>
      </c>
      <c r="AS48" s="25">
        <f t="shared" si="4"/>
        <v>1</v>
      </c>
      <c r="AT48" s="25">
        <f t="shared" si="4"/>
        <v>1</v>
      </c>
      <c r="AU48" s="25">
        <f t="shared" si="4"/>
        <v>0.89865466678990769</v>
      </c>
      <c r="AV48" s="25">
        <f t="shared" si="4"/>
        <v>0.70690679837442139</v>
      </c>
      <c r="AW48" s="25">
        <f t="shared" si="4"/>
        <v>0.5</v>
      </c>
      <c r="AX48" s="25">
        <f t="shared" si="4"/>
        <v>0.5</v>
      </c>
      <c r="AY48" s="25">
        <f t="shared" si="4"/>
        <v>0.5</v>
      </c>
      <c r="AZ48" s="25">
        <f t="shared" si="4"/>
        <v>0.5</v>
      </c>
      <c r="BA48" s="20">
        <f t="shared" si="4"/>
        <v>1</v>
      </c>
      <c r="BB48" s="20">
        <f t="shared" si="4"/>
        <v>1</v>
      </c>
      <c r="BC48" s="20">
        <f t="shared" si="4"/>
        <v>1</v>
      </c>
      <c r="BD48" s="20">
        <f t="shared" si="4"/>
        <v>1</v>
      </c>
      <c r="BE48" s="20">
        <f t="shared" si="4"/>
        <v>0.89775601212311773</v>
      </c>
      <c r="BF48" s="20">
        <f t="shared" si="4"/>
        <v>0.7061998915760469</v>
      </c>
      <c r="BG48" s="20">
        <f t="shared" si="4"/>
        <v>0.4995</v>
      </c>
      <c r="BH48" s="20">
        <f t="shared" si="4"/>
        <v>0.4995</v>
      </c>
      <c r="BI48" s="20">
        <f t="shared" si="4"/>
        <v>0.4995</v>
      </c>
      <c r="BJ48" s="26">
        <f t="shared" si="4"/>
        <v>0.4995</v>
      </c>
      <c r="BL48" s="27">
        <f t="shared" si="3"/>
        <v>-907333.31136800675</v>
      </c>
    </row>
    <row r="49" spans="33:64">
      <c r="AG49" s="24">
        <f t="shared" si="2"/>
        <v>1</v>
      </c>
      <c r="AH49" s="20">
        <f t="shared" si="4"/>
        <v>1</v>
      </c>
      <c r="AI49" s="20">
        <f t="shared" si="4"/>
        <v>1</v>
      </c>
      <c r="AJ49" s="20">
        <f t="shared" si="4"/>
        <v>1</v>
      </c>
      <c r="AK49" s="20">
        <f t="shared" si="4"/>
        <v>1</v>
      </c>
      <c r="AL49" s="20">
        <f t="shared" si="4"/>
        <v>0.95327014355314543</v>
      </c>
      <c r="AM49" s="20">
        <f t="shared" si="4"/>
        <v>0.7061998915760469</v>
      </c>
      <c r="AN49" s="20">
        <f t="shared" si="4"/>
        <v>0.52316574712298913</v>
      </c>
      <c r="AO49" s="20">
        <f t="shared" si="4"/>
        <v>0.4995</v>
      </c>
      <c r="AP49" s="20">
        <f t="shared" si="4"/>
        <v>0.4995</v>
      </c>
      <c r="AQ49" s="25">
        <f t="shared" si="4"/>
        <v>1</v>
      </c>
      <c r="AR49" s="25">
        <f t="shared" si="4"/>
        <v>1</v>
      </c>
      <c r="AS49" s="25">
        <f t="shared" si="4"/>
        <v>1</v>
      </c>
      <c r="AT49" s="25">
        <f t="shared" si="4"/>
        <v>1</v>
      </c>
      <c r="AU49" s="25">
        <f t="shared" si="4"/>
        <v>1</v>
      </c>
      <c r="AV49" s="25">
        <f t="shared" si="4"/>
        <v>0.95422436792106646</v>
      </c>
      <c r="AW49" s="25">
        <f t="shared" si="4"/>
        <v>0.70690679837442139</v>
      </c>
      <c r="AX49" s="25">
        <f t="shared" si="4"/>
        <v>0.5236894365595488</v>
      </c>
      <c r="AY49" s="25">
        <f t="shared" si="4"/>
        <v>0.5</v>
      </c>
      <c r="AZ49" s="25">
        <f t="shared" si="4"/>
        <v>0.5</v>
      </c>
      <c r="BA49" s="20">
        <f t="shared" si="4"/>
        <v>1</v>
      </c>
      <c r="BB49" s="20">
        <f t="shared" si="4"/>
        <v>1</v>
      </c>
      <c r="BC49" s="20">
        <f t="shared" si="4"/>
        <v>1</v>
      </c>
      <c r="BD49" s="20">
        <f t="shared" si="4"/>
        <v>1</v>
      </c>
      <c r="BE49" s="20">
        <f t="shared" si="4"/>
        <v>1</v>
      </c>
      <c r="BF49" s="20">
        <f t="shared" si="4"/>
        <v>0.95327014355314543</v>
      </c>
      <c r="BG49" s="20">
        <f t="shared" si="4"/>
        <v>0.7061998915760469</v>
      </c>
      <c r="BH49" s="20">
        <f t="shared" si="4"/>
        <v>0.52316574712298913</v>
      </c>
      <c r="BI49" s="20">
        <f t="shared" si="4"/>
        <v>0.4995</v>
      </c>
      <c r="BJ49" s="26">
        <f t="shared" si="4"/>
        <v>0.4995</v>
      </c>
      <c r="BL49" s="27">
        <f t="shared" si="3"/>
        <v>3680.5344024181245</v>
      </c>
    </row>
    <row r="50" spans="33:64">
      <c r="AG50" s="24">
        <f t="shared" si="2"/>
        <v>1</v>
      </c>
      <c r="AH50" s="20">
        <f t="shared" si="4"/>
        <v>1</v>
      </c>
      <c r="AI50" s="20">
        <f t="shared" si="4"/>
        <v>1</v>
      </c>
      <c r="AJ50" s="20">
        <f t="shared" si="4"/>
        <v>1</v>
      </c>
      <c r="AK50" s="20">
        <f t="shared" si="4"/>
        <v>1</v>
      </c>
      <c r="AL50" s="20">
        <f t="shared" si="4"/>
        <v>1</v>
      </c>
      <c r="AM50" s="20">
        <f t="shared" si="4"/>
        <v>0.95327014355314543</v>
      </c>
      <c r="AN50" s="20">
        <f t="shared" si="4"/>
        <v>0.82048721624405219</v>
      </c>
      <c r="AO50" s="20">
        <f t="shared" si="4"/>
        <v>0.7061998915760469</v>
      </c>
      <c r="AP50" s="20">
        <f t="shared" si="4"/>
        <v>0.52316574712298913</v>
      </c>
      <c r="AQ50" s="25">
        <f t="shared" si="4"/>
        <v>1</v>
      </c>
      <c r="AR50" s="25">
        <f t="shared" si="4"/>
        <v>1</v>
      </c>
      <c r="AS50" s="25">
        <f t="shared" si="4"/>
        <v>1</v>
      </c>
      <c r="AT50" s="25">
        <f t="shared" si="4"/>
        <v>1</v>
      </c>
      <c r="AU50" s="25">
        <f t="shared" si="4"/>
        <v>1</v>
      </c>
      <c r="AV50" s="25">
        <f t="shared" si="4"/>
        <v>1</v>
      </c>
      <c r="AW50" s="25">
        <f t="shared" si="4"/>
        <v>0.95422436792106646</v>
      </c>
      <c r="AX50" s="25">
        <f t="shared" si="4"/>
        <v>0.82130852476882099</v>
      </c>
      <c r="AY50" s="25">
        <f t="shared" si="4"/>
        <v>0.70690679837442139</v>
      </c>
      <c r="AZ50" s="25">
        <f t="shared" si="4"/>
        <v>0.5236894365595488</v>
      </c>
      <c r="BA50" s="20">
        <f t="shared" si="4"/>
        <v>1</v>
      </c>
      <c r="BB50" s="20">
        <f t="shared" si="4"/>
        <v>1</v>
      </c>
      <c r="BC50" s="20">
        <f t="shared" si="4"/>
        <v>1</v>
      </c>
      <c r="BD50" s="20">
        <f t="shared" si="4"/>
        <v>1</v>
      </c>
      <c r="BE50" s="20">
        <f t="shared" si="4"/>
        <v>1</v>
      </c>
      <c r="BF50" s="20">
        <f t="shared" si="4"/>
        <v>1</v>
      </c>
      <c r="BG50" s="20">
        <f t="shared" si="4"/>
        <v>0.95327014355314543</v>
      </c>
      <c r="BH50" s="20">
        <f t="shared" si="4"/>
        <v>0.82048721624405219</v>
      </c>
      <c r="BI50" s="20">
        <f t="shared" si="4"/>
        <v>0.7061998915760469</v>
      </c>
      <c r="BJ50" s="26">
        <f t="shared" si="4"/>
        <v>0.52316574712298913</v>
      </c>
      <c r="BL50" s="27">
        <f t="shared" si="3"/>
        <v>3479.5849816644973</v>
      </c>
    </row>
    <row r="51" spans="33:64">
      <c r="AG51" s="24">
        <f t="shared" si="2"/>
        <v>1</v>
      </c>
      <c r="AH51" s="20">
        <f t="shared" si="4"/>
        <v>1</v>
      </c>
      <c r="AI51" s="20">
        <f t="shared" si="4"/>
        <v>1</v>
      </c>
      <c r="AJ51" s="20">
        <f t="shared" si="4"/>
        <v>1</v>
      </c>
      <c r="AK51" s="20">
        <f t="shared" si="4"/>
        <v>1</v>
      </c>
      <c r="AL51" s="20">
        <f t="shared" si="4"/>
        <v>1</v>
      </c>
      <c r="AM51" s="20">
        <f t="shared" si="4"/>
        <v>1</v>
      </c>
      <c r="AN51" s="20">
        <f t="shared" si="4"/>
        <v>1</v>
      </c>
      <c r="AO51" s="20">
        <f t="shared" si="4"/>
        <v>0.95327014355314543</v>
      </c>
      <c r="AP51" s="20">
        <f t="shared" si="4"/>
        <v>0.82048721624405219</v>
      </c>
      <c r="AQ51" s="25">
        <f t="shared" si="4"/>
        <v>1</v>
      </c>
      <c r="AR51" s="25">
        <f t="shared" si="4"/>
        <v>1</v>
      </c>
      <c r="AS51" s="25">
        <f t="shared" si="4"/>
        <v>1</v>
      </c>
      <c r="AT51" s="25">
        <f t="shared" si="4"/>
        <v>1</v>
      </c>
      <c r="AU51" s="25">
        <f t="shared" si="4"/>
        <v>1</v>
      </c>
      <c r="AV51" s="25">
        <f t="shared" si="4"/>
        <v>1</v>
      </c>
      <c r="AW51" s="25">
        <f t="shared" si="4"/>
        <v>1</v>
      </c>
      <c r="AX51" s="25">
        <f t="shared" si="4"/>
        <v>1</v>
      </c>
      <c r="AY51" s="25">
        <f t="shared" si="4"/>
        <v>0.95422436792106646</v>
      </c>
      <c r="AZ51" s="25">
        <f t="shared" si="4"/>
        <v>0.82130852476882099</v>
      </c>
      <c r="BA51" s="20">
        <f t="shared" si="4"/>
        <v>1</v>
      </c>
      <c r="BB51" s="20">
        <f t="shared" si="4"/>
        <v>1</v>
      </c>
      <c r="BC51" s="20">
        <f t="shared" si="4"/>
        <v>1</v>
      </c>
      <c r="BD51" s="20">
        <f t="shared" si="4"/>
        <v>1</v>
      </c>
      <c r="BE51" s="20">
        <f t="shared" si="4"/>
        <v>1</v>
      </c>
      <c r="BF51" s="20">
        <f t="shared" si="4"/>
        <v>1</v>
      </c>
      <c r="BG51" s="20">
        <f t="shared" si="4"/>
        <v>1</v>
      </c>
      <c r="BH51" s="20">
        <f t="shared" si="4"/>
        <v>1</v>
      </c>
      <c r="BI51" s="20">
        <f t="shared" si="4"/>
        <v>0.95327014355314543</v>
      </c>
      <c r="BJ51" s="26">
        <f t="shared" si="4"/>
        <v>0.82048721624405219</v>
      </c>
      <c r="BL51" s="27">
        <f t="shared" si="3"/>
        <v>2812.8264676446765</v>
      </c>
    </row>
    <row r="52" spans="33:64">
      <c r="AG52" s="24">
        <f t="shared" si="2"/>
        <v>0.89775601212311773</v>
      </c>
      <c r="AH52" s="20">
        <f t="shared" si="4"/>
        <v>1</v>
      </c>
      <c r="AI52" s="20">
        <f t="shared" si="4"/>
        <v>1</v>
      </c>
      <c r="AJ52" s="20">
        <f t="shared" si="4"/>
        <v>1</v>
      </c>
      <c r="AK52" s="20">
        <f t="shared" si="4"/>
        <v>1</v>
      </c>
      <c r="AL52" s="20">
        <f t="shared" si="4"/>
        <v>1</v>
      </c>
      <c r="AM52" s="20">
        <f t="shared" si="4"/>
        <v>1</v>
      </c>
      <c r="AN52" s="20">
        <f t="shared" si="4"/>
        <v>1</v>
      </c>
      <c r="AO52" s="20">
        <f t="shared" si="4"/>
        <v>1</v>
      </c>
      <c r="AP52" s="20">
        <f t="shared" si="4"/>
        <v>0.95327014355314554</v>
      </c>
      <c r="AQ52" s="25">
        <f t="shared" si="4"/>
        <v>0.89865466678990769</v>
      </c>
      <c r="AR52" s="25">
        <f t="shared" si="4"/>
        <v>1</v>
      </c>
      <c r="AS52" s="25">
        <f t="shared" si="4"/>
        <v>1</v>
      </c>
      <c r="AT52" s="25">
        <f t="shared" si="4"/>
        <v>1</v>
      </c>
      <c r="AU52" s="25">
        <f t="shared" si="4"/>
        <v>1</v>
      </c>
      <c r="AV52" s="25">
        <f t="shared" si="4"/>
        <v>1</v>
      </c>
      <c r="AW52" s="25">
        <f t="shared" si="4"/>
        <v>1</v>
      </c>
      <c r="AX52" s="25">
        <f t="shared" si="4"/>
        <v>1</v>
      </c>
      <c r="AY52" s="25">
        <f t="shared" si="4"/>
        <v>1</v>
      </c>
      <c r="AZ52" s="25">
        <f t="shared" si="4"/>
        <v>0.95422436792106657</v>
      </c>
      <c r="BA52" s="20">
        <f t="shared" si="4"/>
        <v>0.89775601212311773</v>
      </c>
      <c r="BB52" s="20">
        <f t="shared" si="4"/>
        <v>1</v>
      </c>
      <c r="BC52" s="20">
        <f t="shared" si="4"/>
        <v>1</v>
      </c>
      <c r="BD52" s="20">
        <f t="shared" si="4"/>
        <v>1</v>
      </c>
      <c r="BE52" s="20">
        <f t="shared" si="4"/>
        <v>1</v>
      </c>
      <c r="BF52" s="20">
        <f t="shared" si="4"/>
        <v>1</v>
      </c>
      <c r="BG52" s="20">
        <f t="shared" si="4"/>
        <v>1</v>
      </c>
      <c r="BH52" s="20">
        <f t="shared" si="4"/>
        <v>1</v>
      </c>
      <c r="BI52" s="20">
        <f t="shared" si="4"/>
        <v>1</v>
      </c>
      <c r="BJ52" s="26">
        <f t="shared" si="4"/>
        <v>0.95327014355314554</v>
      </c>
      <c r="BL52" s="27">
        <f t="shared" si="3"/>
        <v>2553.5305943386243</v>
      </c>
    </row>
    <row r="53" spans="33:64">
      <c r="AG53" s="24">
        <f t="shared" si="2"/>
        <v>0.7061998915760469</v>
      </c>
      <c r="AH53" s="20">
        <f t="shared" si="4"/>
        <v>0.95327014355314543</v>
      </c>
      <c r="AI53" s="20">
        <f t="shared" si="4"/>
        <v>1</v>
      </c>
      <c r="AJ53" s="20">
        <f t="shared" si="4"/>
        <v>1</v>
      </c>
      <c r="AK53" s="20">
        <f t="shared" si="4"/>
        <v>1</v>
      </c>
      <c r="AL53" s="20">
        <f t="shared" si="4"/>
        <v>1</v>
      </c>
      <c r="AM53" s="20">
        <f t="shared" si="4"/>
        <v>1</v>
      </c>
      <c r="AN53" s="20">
        <f t="shared" si="4"/>
        <v>1</v>
      </c>
      <c r="AO53" s="20">
        <f t="shared" si="4"/>
        <v>1</v>
      </c>
      <c r="AP53" s="20">
        <f t="shared" si="4"/>
        <v>1</v>
      </c>
      <c r="AQ53" s="25">
        <f t="shared" si="4"/>
        <v>0.70690679837442139</v>
      </c>
      <c r="AR53" s="25">
        <f t="shared" si="4"/>
        <v>0.95422436792106646</v>
      </c>
      <c r="AS53" s="25">
        <f t="shared" si="4"/>
        <v>1</v>
      </c>
      <c r="AT53" s="25">
        <f t="shared" si="4"/>
        <v>1</v>
      </c>
      <c r="AU53" s="25">
        <f t="shared" si="4"/>
        <v>1</v>
      </c>
      <c r="AV53" s="25">
        <f t="shared" si="4"/>
        <v>1</v>
      </c>
      <c r="AW53" s="25">
        <f t="shared" si="4"/>
        <v>1</v>
      </c>
      <c r="AX53" s="25">
        <f t="shared" si="4"/>
        <v>1</v>
      </c>
      <c r="AY53" s="25">
        <f t="shared" si="4"/>
        <v>1</v>
      </c>
      <c r="AZ53" s="25">
        <f t="shared" si="4"/>
        <v>1</v>
      </c>
      <c r="BA53" s="20">
        <f t="shared" si="4"/>
        <v>0.7061998915760469</v>
      </c>
      <c r="BB53" s="20">
        <f t="shared" si="4"/>
        <v>0.95327014355314543</v>
      </c>
      <c r="BC53" s="20">
        <f t="shared" si="4"/>
        <v>1</v>
      </c>
      <c r="BD53" s="20">
        <f t="shared" si="4"/>
        <v>1</v>
      </c>
      <c r="BE53" s="20">
        <f t="shared" si="4"/>
        <v>1</v>
      </c>
      <c r="BF53" s="20">
        <f t="shared" si="4"/>
        <v>1</v>
      </c>
      <c r="BG53" s="20">
        <f t="shared" si="4"/>
        <v>1</v>
      </c>
      <c r="BH53" s="20">
        <f t="shared" si="4"/>
        <v>1</v>
      </c>
      <c r="BI53" s="20">
        <f t="shared" si="4"/>
        <v>1</v>
      </c>
      <c r="BJ53" s="26">
        <f t="shared" si="4"/>
        <v>1</v>
      </c>
      <c r="BL53" s="27">
        <f t="shared" si="3"/>
        <v>2359.3269084355516</v>
      </c>
    </row>
    <row r="54" spans="33:64">
      <c r="AG54" s="24">
        <f t="shared" si="2"/>
        <v>0.4995</v>
      </c>
      <c r="AH54" s="20">
        <f t="shared" si="4"/>
        <v>0.7061998915760469</v>
      </c>
      <c r="AI54" s="20">
        <f t="shared" si="4"/>
        <v>0.95327014355314543</v>
      </c>
      <c r="AJ54" s="20">
        <f t="shared" si="4"/>
        <v>1</v>
      </c>
      <c r="AK54" s="20">
        <f t="shared" si="4"/>
        <v>1</v>
      </c>
      <c r="AL54" s="20">
        <f t="shared" si="4"/>
        <v>1</v>
      </c>
      <c r="AM54" s="20">
        <f t="shared" si="4"/>
        <v>1</v>
      </c>
      <c r="AN54" s="20">
        <f t="shared" si="4"/>
        <v>1</v>
      </c>
      <c r="AO54" s="20">
        <f t="shared" si="4"/>
        <v>1</v>
      </c>
      <c r="AP54" s="20">
        <f t="shared" si="4"/>
        <v>1</v>
      </c>
      <c r="AQ54" s="25">
        <f t="shared" si="4"/>
        <v>0.5</v>
      </c>
      <c r="AR54" s="25">
        <f t="shared" si="4"/>
        <v>0.70690679837442139</v>
      </c>
      <c r="AS54" s="25">
        <f t="shared" si="4"/>
        <v>0.95422436792106646</v>
      </c>
      <c r="AT54" s="25">
        <f t="shared" si="4"/>
        <v>1</v>
      </c>
      <c r="AU54" s="25">
        <f t="shared" ref="AH54:BJ62" si="5">MIN(AU19*1.25, 1)</f>
        <v>1</v>
      </c>
      <c r="AV54" s="25">
        <f t="shared" si="5"/>
        <v>1</v>
      </c>
      <c r="AW54" s="25">
        <f t="shared" si="5"/>
        <v>1</v>
      </c>
      <c r="AX54" s="25">
        <f t="shared" si="5"/>
        <v>1</v>
      </c>
      <c r="AY54" s="25">
        <f t="shared" si="5"/>
        <v>1</v>
      </c>
      <c r="AZ54" s="25">
        <f t="shared" si="5"/>
        <v>1</v>
      </c>
      <c r="BA54" s="20">
        <f t="shared" si="5"/>
        <v>0.4995</v>
      </c>
      <c r="BB54" s="20">
        <f t="shared" si="5"/>
        <v>0.7061998915760469</v>
      </c>
      <c r="BC54" s="20">
        <f t="shared" si="5"/>
        <v>0.95327014355314543</v>
      </c>
      <c r="BD54" s="20">
        <f t="shared" si="5"/>
        <v>1</v>
      </c>
      <c r="BE54" s="20">
        <f t="shared" si="5"/>
        <v>1</v>
      </c>
      <c r="BF54" s="20">
        <f t="shared" si="5"/>
        <v>1</v>
      </c>
      <c r="BG54" s="20">
        <f t="shared" si="5"/>
        <v>1</v>
      </c>
      <c r="BH54" s="20">
        <f t="shared" si="5"/>
        <v>1</v>
      </c>
      <c r="BI54" s="20">
        <f t="shared" si="5"/>
        <v>1</v>
      </c>
      <c r="BJ54" s="26">
        <f t="shared" si="5"/>
        <v>1</v>
      </c>
      <c r="BL54" s="27">
        <f t="shared" si="3"/>
        <v>2376.8182092152824</v>
      </c>
    </row>
    <row r="55" spans="33:64">
      <c r="AG55" s="24">
        <f t="shared" si="2"/>
        <v>0.4995</v>
      </c>
      <c r="AH55" s="20">
        <f t="shared" si="5"/>
        <v>0.52316574712298913</v>
      </c>
      <c r="AI55" s="20">
        <f t="shared" si="5"/>
        <v>0.82048721624405219</v>
      </c>
      <c r="AJ55" s="20">
        <f t="shared" si="5"/>
        <v>1</v>
      </c>
      <c r="AK55" s="20">
        <f t="shared" si="5"/>
        <v>1</v>
      </c>
      <c r="AL55" s="20">
        <f t="shared" si="5"/>
        <v>1</v>
      </c>
      <c r="AM55" s="20">
        <f t="shared" si="5"/>
        <v>1</v>
      </c>
      <c r="AN55" s="20">
        <f t="shared" si="5"/>
        <v>1</v>
      </c>
      <c r="AO55" s="20">
        <f t="shared" si="5"/>
        <v>1</v>
      </c>
      <c r="AP55" s="20">
        <f t="shared" si="5"/>
        <v>1</v>
      </c>
      <c r="AQ55" s="25">
        <f t="shared" si="5"/>
        <v>0.5</v>
      </c>
      <c r="AR55" s="25">
        <f t="shared" si="5"/>
        <v>0.5236894365595488</v>
      </c>
      <c r="AS55" s="25">
        <f t="shared" si="5"/>
        <v>0.82130852476882099</v>
      </c>
      <c r="AT55" s="25">
        <f t="shared" si="5"/>
        <v>1</v>
      </c>
      <c r="AU55" s="25">
        <f t="shared" si="5"/>
        <v>1</v>
      </c>
      <c r="AV55" s="25">
        <f t="shared" si="5"/>
        <v>1</v>
      </c>
      <c r="AW55" s="25">
        <f t="shared" si="5"/>
        <v>1</v>
      </c>
      <c r="AX55" s="25">
        <f t="shared" si="5"/>
        <v>1</v>
      </c>
      <c r="AY55" s="25">
        <f t="shared" si="5"/>
        <v>1</v>
      </c>
      <c r="AZ55" s="25">
        <f t="shared" si="5"/>
        <v>1</v>
      </c>
      <c r="BA55" s="20">
        <f t="shared" si="5"/>
        <v>0.4995</v>
      </c>
      <c r="BB55" s="20">
        <f t="shared" si="5"/>
        <v>0.52316574712298913</v>
      </c>
      <c r="BC55" s="20">
        <f t="shared" si="5"/>
        <v>0.82048721624405219</v>
      </c>
      <c r="BD55" s="20">
        <f t="shared" si="5"/>
        <v>1</v>
      </c>
      <c r="BE55" s="20">
        <f t="shared" si="5"/>
        <v>1</v>
      </c>
      <c r="BF55" s="20">
        <f t="shared" si="5"/>
        <v>1</v>
      </c>
      <c r="BG55" s="20">
        <f t="shared" si="5"/>
        <v>1</v>
      </c>
      <c r="BH55" s="20">
        <f t="shared" si="5"/>
        <v>1</v>
      </c>
      <c r="BI55" s="20">
        <f t="shared" si="5"/>
        <v>1</v>
      </c>
      <c r="BJ55" s="26">
        <f t="shared" si="5"/>
        <v>1</v>
      </c>
      <c r="BL55" s="27">
        <f t="shared" si="3"/>
        <v>2378.5557278543242</v>
      </c>
    </row>
    <row r="56" spans="33:64">
      <c r="AG56" s="24">
        <f t="shared" si="2"/>
        <v>0.4995</v>
      </c>
      <c r="AH56" s="20">
        <f t="shared" si="5"/>
        <v>0.4995</v>
      </c>
      <c r="AI56" s="20">
        <f t="shared" si="5"/>
        <v>0.7061998915760469</v>
      </c>
      <c r="AJ56" s="20">
        <f t="shared" si="5"/>
        <v>0.95327014355314543</v>
      </c>
      <c r="AK56" s="20">
        <f t="shared" si="5"/>
        <v>1</v>
      </c>
      <c r="AL56" s="20">
        <f t="shared" si="5"/>
        <v>1</v>
      </c>
      <c r="AM56" s="20">
        <f t="shared" si="5"/>
        <v>1</v>
      </c>
      <c r="AN56" s="20">
        <f t="shared" si="5"/>
        <v>1</v>
      </c>
      <c r="AO56" s="20">
        <f t="shared" si="5"/>
        <v>1</v>
      </c>
      <c r="AP56" s="20">
        <f t="shared" si="5"/>
        <v>1</v>
      </c>
      <c r="AQ56" s="25">
        <f t="shared" si="5"/>
        <v>0.5</v>
      </c>
      <c r="AR56" s="25">
        <f t="shared" si="5"/>
        <v>0.5</v>
      </c>
      <c r="AS56" s="25">
        <f t="shared" si="5"/>
        <v>0.70690679837442139</v>
      </c>
      <c r="AT56" s="25">
        <f t="shared" si="5"/>
        <v>0.95422436792106646</v>
      </c>
      <c r="AU56" s="25">
        <f t="shared" si="5"/>
        <v>1</v>
      </c>
      <c r="AV56" s="25">
        <f t="shared" si="5"/>
        <v>1</v>
      </c>
      <c r="AW56" s="25">
        <f t="shared" si="5"/>
        <v>1</v>
      </c>
      <c r="AX56" s="25">
        <f t="shared" si="5"/>
        <v>1</v>
      </c>
      <c r="AY56" s="25">
        <f t="shared" si="5"/>
        <v>1</v>
      </c>
      <c r="AZ56" s="25">
        <f t="shared" si="5"/>
        <v>1</v>
      </c>
      <c r="BA56" s="20">
        <f t="shared" si="5"/>
        <v>0.4995</v>
      </c>
      <c r="BB56" s="20">
        <f t="shared" si="5"/>
        <v>0.4995</v>
      </c>
      <c r="BC56" s="20">
        <f t="shared" si="5"/>
        <v>0.7061998915760469</v>
      </c>
      <c r="BD56" s="20">
        <f t="shared" si="5"/>
        <v>0.95327014355314543</v>
      </c>
      <c r="BE56" s="20">
        <f t="shared" si="5"/>
        <v>1</v>
      </c>
      <c r="BF56" s="20">
        <f t="shared" si="5"/>
        <v>1</v>
      </c>
      <c r="BG56" s="20">
        <f t="shared" si="5"/>
        <v>1</v>
      </c>
      <c r="BH56" s="20">
        <f t="shared" si="5"/>
        <v>1</v>
      </c>
      <c r="BI56" s="20">
        <f t="shared" si="5"/>
        <v>1</v>
      </c>
      <c r="BJ56" s="26">
        <f t="shared" si="5"/>
        <v>1</v>
      </c>
      <c r="BL56" s="27">
        <f t="shared" si="3"/>
        <v>2378.5557278543242</v>
      </c>
    </row>
    <row r="57" spans="33:64">
      <c r="AG57" s="24">
        <f t="shared" si="2"/>
        <v>0.4995</v>
      </c>
      <c r="AH57" s="20">
        <f t="shared" si="5"/>
        <v>0.4995</v>
      </c>
      <c r="AI57" s="20">
        <f t="shared" si="5"/>
        <v>0.52316574712298913</v>
      </c>
      <c r="AJ57" s="20">
        <f t="shared" si="5"/>
        <v>0.82048721624405219</v>
      </c>
      <c r="AK57" s="20">
        <f t="shared" si="5"/>
        <v>0.95327014355314554</v>
      </c>
      <c r="AL57" s="20">
        <f t="shared" si="5"/>
        <v>1</v>
      </c>
      <c r="AM57" s="20">
        <f t="shared" si="5"/>
        <v>1</v>
      </c>
      <c r="AN57" s="20">
        <f t="shared" si="5"/>
        <v>1</v>
      </c>
      <c r="AO57" s="20">
        <f t="shared" si="5"/>
        <v>1</v>
      </c>
      <c r="AP57" s="20">
        <f t="shared" si="5"/>
        <v>1</v>
      </c>
      <c r="AQ57" s="25">
        <f t="shared" si="5"/>
        <v>0.5</v>
      </c>
      <c r="AR57" s="25">
        <f t="shared" si="5"/>
        <v>0.5</v>
      </c>
      <c r="AS57" s="25">
        <f t="shared" si="5"/>
        <v>0.5236894365595488</v>
      </c>
      <c r="AT57" s="25">
        <f t="shared" si="5"/>
        <v>0.82130852476882099</v>
      </c>
      <c r="AU57" s="25">
        <f t="shared" si="5"/>
        <v>0.95422436792106657</v>
      </c>
      <c r="AV57" s="25">
        <f t="shared" si="5"/>
        <v>1</v>
      </c>
      <c r="AW57" s="25">
        <f t="shared" si="5"/>
        <v>1</v>
      </c>
      <c r="AX57" s="25">
        <f t="shared" si="5"/>
        <v>1</v>
      </c>
      <c r="AY57" s="25">
        <f t="shared" si="5"/>
        <v>1</v>
      </c>
      <c r="AZ57" s="25">
        <f t="shared" si="5"/>
        <v>1</v>
      </c>
      <c r="BA57" s="20">
        <f t="shared" si="5"/>
        <v>0.4995</v>
      </c>
      <c r="BB57" s="20">
        <f t="shared" si="5"/>
        <v>0.4995</v>
      </c>
      <c r="BC57" s="20">
        <f t="shared" si="5"/>
        <v>0.52316574712298913</v>
      </c>
      <c r="BD57" s="20">
        <f t="shared" si="5"/>
        <v>0.82048721624405219</v>
      </c>
      <c r="BE57" s="20">
        <f t="shared" si="5"/>
        <v>0.95327014355314554</v>
      </c>
      <c r="BF57" s="20">
        <f t="shared" si="5"/>
        <v>1</v>
      </c>
      <c r="BG57" s="20">
        <f t="shared" si="5"/>
        <v>1</v>
      </c>
      <c r="BH57" s="20">
        <f t="shared" si="5"/>
        <v>1</v>
      </c>
      <c r="BI57" s="20">
        <f t="shared" si="5"/>
        <v>1</v>
      </c>
      <c r="BJ57" s="26">
        <f t="shared" si="5"/>
        <v>1</v>
      </c>
      <c r="BL57" s="27">
        <f t="shared" si="3"/>
        <v>2378.5557278543242</v>
      </c>
    </row>
    <row r="58" spans="33:64">
      <c r="AG58" s="28">
        <f t="shared" si="2"/>
        <v>1</v>
      </c>
      <c r="AH58" s="21">
        <f t="shared" si="5"/>
        <v>1</v>
      </c>
      <c r="AI58" s="21">
        <f t="shared" si="5"/>
        <v>1</v>
      </c>
      <c r="AJ58" s="21">
        <f t="shared" si="5"/>
        <v>1</v>
      </c>
      <c r="AK58" s="21">
        <f t="shared" si="5"/>
        <v>0.89775601212311773</v>
      </c>
      <c r="AL58" s="21">
        <f t="shared" si="5"/>
        <v>0.7061998915760469</v>
      </c>
      <c r="AM58" s="21">
        <f t="shared" si="5"/>
        <v>0.4995</v>
      </c>
      <c r="AN58" s="21">
        <f t="shared" si="5"/>
        <v>0.4995</v>
      </c>
      <c r="AO58" s="21">
        <f t="shared" si="5"/>
        <v>0.4995</v>
      </c>
      <c r="AP58" s="21">
        <f t="shared" si="5"/>
        <v>0.4995</v>
      </c>
      <c r="AQ58" s="20">
        <f t="shared" si="5"/>
        <v>1</v>
      </c>
      <c r="AR58" s="20">
        <f t="shared" si="5"/>
        <v>1</v>
      </c>
      <c r="AS58" s="20">
        <f t="shared" si="5"/>
        <v>1</v>
      </c>
      <c r="AT58" s="20">
        <f t="shared" si="5"/>
        <v>1</v>
      </c>
      <c r="AU58" s="20">
        <f t="shared" si="5"/>
        <v>0.89775601212311773</v>
      </c>
      <c r="AV58" s="20">
        <f t="shared" si="5"/>
        <v>0.7061998915760469</v>
      </c>
      <c r="AW58" s="20">
        <f t="shared" si="5"/>
        <v>0.4995</v>
      </c>
      <c r="AX58" s="20">
        <f t="shared" si="5"/>
        <v>0.4995</v>
      </c>
      <c r="AY58" s="20">
        <f t="shared" si="5"/>
        <v>0.4995</v>
      </c>
      <c r="AZ58" s="20">
        <f t="shared" si="5"/>
        <v>0.4995</v>
      </c>
      <c r="BA58" s="29">
        <f t="shared" si="5"/>
        <v>1</v>
      </c>
      <c r="BB58" s="29">
        <f t="shared" si="5"/>
        <v>1</v>
      </c>
      <c r="BC58" s="29">
        <f t="shared" si="5"/>
        <v>1</v>
      </c>
      <c r="BD58" s="29">
        <f t="shared" si="5"/>
        <v>1</v>
      </c>
      <c r="BE58" s="29">
        <f t="shared" si="5"/>
        <v>0.89865466678990769</v>
      </c>
      <c r="BF58" s="29">
        <f t="shared" si="5"/>
        <v>0.70690679837442139</v>
      </c>
      <c r="BG58" s="29">
        <f t="shared" si="5"/>
        <v>0.5</v>
      </c>
      <c r="BH58" s="29">
        <f t="shared" si="5"/>
        <v>0.5</v>
      </c>
      <c r="BI58" s="29">
        <f t="shared" si="5"/>
        <v>0.5</v>
      </c>
      <c r="BJ58" s="30">
        <f t="shared" si="5"/>
        <v>0.5</v>
      </c>
      <c r="BL58" s="31">
        <f t="shared" si="3"/>
        <v>145465.51988418738</v>
      </c>
    </row>
    <row r="59" spans="33:64">
      <c r="AG59" s="28">
        <f t="shared" si="2"/>
        <v>1</v>
      </c>
      <c r="AH59" s="21">
        <f t="shared" si="5"/>
        <v>1</v>
      </c>
      <c r="AI59" s="21">
        <f t="shared" si="5"/>
        <v>1</v>
      </c>
      <c r="AJ59" s="21">
        <f t="shared" si="5"/>
        <v>1</v>
      </c>
      <c r="AK59" s="21">
        <f t="shared" si="5"/>
        <v>1</v>
      </c>
      <c r="AL59" s="21">
        <f t="shared" si="5"/>
        <v>0.95327014355314543</v>
      </c>
      <c r="AM59" s="21">
        <f t="shared" si="5"/>
        <v>0.7061998915760469</v>
      </c>
      <c r="AN59" s="21">
        <f t="shared" si="5"/>
        <v>0.52316574712298913</v>
      </c>
      <c r="AO59" s="21">
        <f t="shared" si="5"/>
        <v>0.4995</v>
      </c>
      <c r="AP59" s="21">
        <f t="shared" si="5"/>
        <v>0.4995</v>
      </c>
      <c r="AQ59" s="32">
        <f t="shared" si="5"/>
        <v>1</v>
      </c>
      <c r="AR59" s="32">
        <f t="shared" si="5"/>
        <v>1</v>
      </c>
      <c r="AS59" s="32">
        <f t="shared" si="5"/>
        <v>1</v>
      </c>
      <c r="AT59" s="32">
        <f t="shared" si="5"/>
        <v>1</v>
      </c>
      <c r="AU59" s="32">
        <f t="shared" si="5"/>
        <v>1</v>
      </c>
      <c r="AV59" s="32">
        <f t="shared" si="5"/>
        <v>0.95327014355314543</v>
      </c>
      <c r="AW59" s="32">
        <f t="shared" si="5"/>
        <v>0.7061998915760469</v>
      </c>
      <c r="AX59" s="32">
        <f t="shared" si="5"/>
        <v>0.52316574712298913</v>
      </c>
      <c r="AY59" s="32">
        <f t="shared" si="5"/>
        <v>0.4995</v>
      </c>
      <c r="AZ59" s="32">
        <f t="shared" si="5"/>
        <v>0.4995</v>
      </c>
      <c r="BA59" s="29">
        <f t="shared" si="5"/>
        <v>1</v>
      </c>
      <c r="BB59" s="29">
        <f t="shared" si="5"/>
        <v>1</v>
      </c>
      <c r="BC59" s="29">
        <f t="shared" si="5"/>
        <v>1</v>
      </c>
      <c r="BD59" s="29">
        <f t="shared" si="5"/>
        <v>1</v>
      </c>
      <c r="BE59" s="29">
        <f t="shared" si="5"/>
        <v>1</v>
      </c>
      <c r="BF59" s="29">
        <f t="shared" si="5"/>
        <v>0.95422436792106646</v>
      </c>
      <c r="BG59" s="29">
        <f t="shared" si="5"/>
        <v>0.70690679837442139</v>
      </c>
      <c r="BH59" s="29">
        <f t="shared" si="5"/>
        <v>0.5236894365595488</v>
      </c>
      <c r="BI59" s="29">
        <f t="shared" si="5"/>
        <v>0.5</v>
      </c>
      <c r="BJ59" s="30">
        <f t="shared" si="5"/>
        <v>0.5</v>
      </c>
      <c r="BL59" s="31">
        <f t="shared" si="3"/>
        <v>-331078.93059245823</v>
      </c>
    </row>
    <row r="60" spans="33:64">
      <c r="AG60" s="28">
        <f t="shared" si="2"/>
        <v>1</v>
      </c>
      <c r="AH60" s="21">
        <f t="shared" si="5"/>
        <v>1</v>
      </c>
      <c r="AI60" s="21">
        <f t="shared" si="5"/>
        <v>1</v>
      </c>
      <c r="AJ60" s="21">
        <f t="shared" si="5"/>
        <v>1</v>
      </c>
      <c r="AK60" s="21">
        <f t="shared" si="5"/>
        <v>1</v>
      </c>
      <c r="AL60" s="21">
        <f t="shared" si="5"/>
        <v>1</v>
      </c>
      <c r="AM60" s="21">
        <f t="shared" si="5"/>
        <v>0.95327014355314543</v>
      </c>
      <c r="AN60" s="21">
        <f t="shared" si="5"/>
        <v>0.82048721624405219</v>
      </c>
      <c r="AO60" s="21">
        <f t="shared" si="5"/>
        <v>0.7061998915760469</v>
      </c>
      <c r="AP60" s="21">
        <f t="shared" si="5"/>
        <v>0.52316574712298913</v>
      </c>
      <c r="AQ60" s="20">
        <f t="shared" si="5"/>
        <v>1</v>
      </c>
      <c r="AR60" s="20">
        <f t="shared" si="5"/>
        <v>1</v>
      </c>
      <c r="AS60" s="20">
        <f t="shared" si="5"/>
        <v>1</v>
      </c>
      <c r="AT60" s="20">
        <f t="shared" si="5"/>
        <v>1</v>
      </c>
      <c r="AU60" s="20">
        <f t="shared" si="5"/>
        <v>1</v>
      </c>
      <c r="AV60" s="20">
        <f t="shared" si="5"/>
        <v>1</v>
      </c>
      <c r="AW60" s="20">
        <f t="shared" si="5"/>
        <v>0.95327014355314543</v>
      </c>
      <c r="AX60" s="20">
        <f t="shared" si="5"/>
        <v>0.82048721624405219</v>
      </c>
      <c r="AY60" s="20">
        <f t="shared" si="5"/>
        <v>0.7061998915760469</v>
      </c>
      <c r="AZ60" s="20">
        <f t="shared" si="5"/>
        <v>0.52316574712298913</v>
      </c>
      <c r="BA60" s="29">
        <f t="shared" si="5"/>
        <v>1</v>
      </c>
      <c r="BB60" s="29">
        <f t="shared" si="5"/>
        <v>1</v>
      </c>
      <c r="BC60" s="29">
        <f t="shared" si="5"/>
        <v>1</v>
      </c>
      <c r="BD60" s="29">
        <f t="shared" si="5"/>
        <v>1</v>
      </c>
      <c r="BE60" s="29">
        <f t="shared" si="5"/>
        <v>1</v>
      </c>
      <c r="BF60" s="29">
        <f t="shared" si="5"/>
        <v>1</v>
      </c>
      <c r="BG60" s="29">
        <f t="shared" si="5"/>
        <v>0.95422436792106646</v>
      </c>
      <c r="BH60" s="29">
        <f t="shared" si="5"/>
        <v>0.82130852476882099</v>
      </c>
      <c r="BI60" s="29">
        <f t="shared" si="5"/>
        <v>0.70690679837442139</v>
      </c>
      <c r="BJ60" s="30">
        <f t="shared" si="5"/>
        <v>0.5236894365595488</v>
      </c>
      <c r="BL60" s="31">
        <f t="shared" si="3"/>
        <v>448629.68422889704</v>
      </c>
    </row>
    <row r="61" spans="33:64">
      <c r="AG61" s="28">
        <f t="shared" si="2"/>
        <v>1</v>
      </c>
      <c r="AH61" s="21">
        <f t="shared" si="5"/>
        <v>1</v>
      </c>
      <c r="AI61" s="21">
        <f t="shared" si="5"/>
        <v>1</v>
      </c>
      <c r="AJ61" s="21">
        <f t="shared" si="5"/>
        <v>1</v>
      </c>
      <c r="AK61" s="21">
        <f t="shared" si="5"/>
        <v>1</v>
      </c>
      <c r="AL61" s="21">
        <f t="shared" si="5"/>
        <v>1</v>
      </c>
      <c r="AM61" s="21">
        <f t="shared" si="5"/>
        <v>1</v>
      </c>
      <c r="AN61" s="21">
        <f t="shared" si="5"/>
        <v>1</v>
      </c>
      <c r="AO61" s="21">
        <f t="shared" si="5"/>
        <v>0.95327014355314543</v>
      </c>
      <c r="AP61" s="21">
        <f t="shared" si="5"/>
        <v>0.82048721624405219</v>
      </c>
      <c r="AQ61" s="20">
        <f t="shared" si="5"/>
        <v>1</v>
      </c>
      <c r="AR61" s="20">
        <f t="shared" si="5"/>
        <v>1</v>
      </c>
      <c r="AS61" s="20">
        <f t="shared" si="5"/>
        <v>1</v>
      </c>
      <c r="AT61" s="20">
        <f t="shared" si="5"/>
        <v>1</v>
      </c>
      <c r="AU61" s="20">
        <f t="shared" si="5"/>
        <v>1</v>
      </c>
      <c r="AV61" s="20">
        <f t="shared" si="5"/>
        <v>1</v>
      </c>
      <c r="AW61" s="20">
        <f t="shared" si="5"/>
        <v>1</v>
      </c>
      <c r="AX61" s="20">
        <f t="shared" si="5"/>
        <v>1</v>
      </c>
      <c r="AY61" s="20">
        <f t="shared" si="5"/>
        <v>0.95327014355314543</v>
      </c>
      <c r="AZ61" s="20">
        <f t="shared" si="5"/>
        <v>0.82048721624405219</v>
      </c>
      <c r="BA61" s="29">
        <f t="shared" si="5"/>
        <v>1</v>
      </c>
      <c r="BB61" s="29">
        <f t="shared" si="5"/>
        <v>1</v>
      </c>
      <c r="BC61" s="29">
        <f t="shared" si="5"/>
        <v>1</v>
      </c>
      <c r="BD61" s="29">
        <f t="shared" si="5"/>
        <v>1</v>
      </c>
      <c r="BE61" s="29">
        <f t="shared" si="5"/>
        <v>1</v>
      </c>
      <c r="BF61" s="29">
        <f t="shared" si="5"/>
        <v>1</v>
      </c>
      <c r="BG61" s="29">
        <f t="shared" si="5"/>
        <v>1</v>
      </c>
      <c r="BH61" s="29">
        <f t="shared" si="5"/>
        <v>1</v>
      </c>
      <c r="BI61" s="29">
        <f t="shared" si="5"/>
        <v>0.95422436792106646</v>
      </c>
      <c r="BJ61" s="30">
        <f t="shared" si="5"/>
        <v>0.82130852476882099</v>
      </c>
      <c r="BL61" s="31">
        <f t="shared" si="3"/>
        <v>0</v>
      </c>
    </row>
    <row r="62" spans="33:64">
      <c r="AG62" s="28">
        <f t="shared" si="2"/>
        <v>0.89775601212311773</v>
      </c>
      <c r="AH62" s="21">
        <f t="shared" si="5"/>
        <v>1</v>
      </c>
      <c r="AI62" s="21">
        <f t="shared" si="5"/>
        <v>1</v>
      </c>
      <c r="AJ62" s="21">
        <f t="shared" si="5"/>
        <v>1</v>
      </c>
      <c r="AK62" s="21">
        <f t="shared" si="5"/>
        <v>1</v>
      </c>
      <c r="AL62" s="21">
        <f t="shared" si="5"/>
        <v>1</v>
      </c>
      <c r="AM62" s="21">
        <f t="shared" si="5"/>
        <v>1</v>
      </c>
      <c r="AN62" s="21">
        <f t="shared" si="5"/>
        <v>1</v>
      </c>
      <c r="AO62" s="21">
        <f t="shared" si="5"/>
        <v>1</v>
      </c>
      <c r="AP62" s="21">
        <f t="shared" si="5"/>
        <v>0.95327014355314554</v>
      </c>
      <c r="AQ62" s="20">
        <f t="shared" si="5"/>
        <v>0.89775601212311773</v>
      </c>
      <c r="AR62" s="20">
        <f t="shared" si="5"/>
        <v>1</v>
      </c>
      <c r="AS62" s="20">
        <f t="shared" si="5"/>
        <v>1</v>
      </c>
      <c r="AT62" s="20">
        <f t="shared" ref="AH62:BJ67" si="6">MIN(AT27*1.25, 1)</f>
        <v>1</v>
      </c>
      <c r="AU62" s="20">
        <f t="shared" si="6"/>
        <v>1</v>
      </c>
      <c r="AV62" s="20">
        <f t="shared" si="6"/>
        <v>1</v>
      </c>
      <c r="AW62" s="20">
        <f t="shared" si="6"/>
        <v>1</v>
      </c>
      <c r="AX62" s="20">
        <f t="shared" si="6"/>
        <v>1</v>
      </c>
      <c r="AY62" s="20">
        <f t="shared" si="6"/>
        <v>1</v>
      </c>
      <c r="AZ62" s="20">
        <f t="shared" si="6"/>
        <v>0.95327014355314554</v>
      </c>
      <c r="BA62" s="29">
        <f t="shared" si="6"/>
        <v>0.89865466678990769</v>
      </c>
      <c r="BB62" s="29">
        <f t="shared" si="6"/>
        <v>1</v>
      </c>
      <c r="BC62" s="29">
        <f t="shared" si="6"/>
        <v>1</v>
      </c>
      <c r="BD62" s="29">
        <f t="shared" si="6"/>
        <v>1</v>
      </c>
      <c r="BE62" s="29">
        <f t="shared" si="6"/>
        <v>1</v>
      </c>
      <c r="BF62" s="29">
        <f t="shared" si="6"/>
        <v>1</v>
      </c>
      <c r="BG62" s="29">
        <f t="shared" si="6"/>
        <v>1</v>
      </c>
      <c r="BH62" s="29">
        <f t="shared" si="6"/>
        <v>1</v>
      </c>
      <c r="BI62" s="29">
        <f t="shared" si="6"/>
        <v>1</v>
      </c>
      <c r="BJ62" s="30">
        <f t="shared" si="6"/>
        <v>0.95422436792106657</v>
      </c>
      <c r="BL62" s="31">
        <f t="shared" si="3"/>
        <v>0</v>
      </c>
    </row>
    <row r="63" spans="33:64">
      <c r="AG63" s="28">
        <f t="shared" si="2"/>
        <v>0.7061998915760469</v>
      </c>
      <c r="AH63" s="21">
        <f t="shared" si="6"/>
        <v>0.95327014355314543</v>
      </c>
      <c r="AI63" s="21">
        <f t="shared" si="6"/>
        <v>1</v>
      </c>
      <c r="AJ63" s="21">
        <f t="shared" si="6"/>
        <v>1</v>
      </c>
      <c r="AK63" s="21">
        <f t="shared" si="6"/>
        <v>1</v>
      </c>
      <c r="AL63" s="21">
        <f t="shared" si="6"/>
        <v>1</v>
      </c>
      <c r="AM63" s="21">
        <f t="shared" si="6"/>
        <v>1</v>
      </c>
      <c r="AN63" s="21">
        <f t="shared" si="6"/>
        <v>1</v>
      </c>
      <c r="AO63" s="21">
        <f t="shared" si="6"/>
        <v>1</v>
      </c>
      <c r="AP63" s="21">
        <f t="shared" si="6"/>
        <v>1</v>
      </c>
      <c r="AQ63" s="20">
        <f t="shared" si="6"/>
        <v>0.7061998915760469</v>
      </c>
      <c r="AR63" s="20">
        <f t="shared" si="6"/>
        <v>0.95327014355314543</v>
      </c>
      <c r="AS63" s="20">
        <f t="shared" si="6"/>
        <v>1</v>
      </c>
      <c r="AT63" s="20">
        <f t="shared" si="6"/>
        <v>1</v>
      </c>
      <c r="AU63" s="20">
        <f t="shared" si="6"/>
        <v>1</v>
      </c>
      <c r="AV63" s="20">
        <f t="shared" si="6"/>
        <v>1</v>
      </c>
      <c r="AW63" s="20">
        <f t="shared" si="6"/>
        <v>1</v>
      </c>
      <c r="AX63" s="20">
        <f t="shared" si="6"/>
        <v>1</v>
      </c>
      <c r="AY63" s="20">
        <f t="shared" si="6"/>
        <v>1</v>
      </c>
      <c r="AZ63" s="20">
        <f t="shared" si="6"/>
        <v>1</v>
      </c>
      <c r="BA63" s="29">
        <f t="shared" si="6"/>
        <v>0.70690679837442139</v>
      </c>
      <c r="BB63" s="29">
        <f t="shared" si="6"/>
        <v>0.95422436792106646</v>
      </c>
      <c r="BC63" s="29">
        <f t="shared" si="6"/>
        <v>1</v>
      </c>
      <c r="BD63" s="29">
        <f t="shared" si="6"/>
        <v>1</v>
      </c>
      <c r="BE63" s="29">
        <f t="shared" si="6"/>
        <v>1</v>
      </c>
      <c r="BF63" s="29">
        <f t="shared" si="6"/>
        <v>1</v>
      </c>
      <c r="BG63" s="29">
        <f t="shared" si="6"/>
        <v>1</v>
      </c>
      <c r="BH63" s="29">
        <f t="shared" si="6"/>
        <v>1</v>
      </c>
      <c r="BI63" s="29">
        <f t="shared" si="6"/>
        <v>1</v>
      </c>
      <c r="BJ63" s="30">
        <f t="shared" si="6"/>
        <v>1</v>
      </c>
      <c r="BL63" s="31">
        <f t="shared" si="3"/>
        <v>0</v>
      </c>
    </row>
    <row r="64" spans="33:64">
      <c r="AG64" s="28">
        <f t="shared" si="2"/>
        <v>0.4995</v>
      </c>
      <c r="AH64" s="21">
        <f t="shared" si="6"/>
        <v>0.7061998915760469</v>
      </c>
      <c r="AI64" s="21">
        <f t="shared" si="6"/>
        <v>0.95327014355314543</v>
      </c>
      <c r="AJ64" s="21">
        <f t="shared" si="6"/>
        <v>1</v>
      </c>
      <c r="AK64" s="21">
        <f t="shared" si="6"/>
        <v>1</v>
      </c>
      <c r="AL64" s="21">
        <f t="shared" si="6"/>
        <v>1</v>
      </c>
      <c r="AM64" s="21">
        <f t="shared" si="6"/>
        <v>1</v>
      </c>
      <c r="AN64" s="21">
        <f t="shared" si="6"/>
        <v>1</v>
      </c>
      <c r="AO64" s="21">
        <f t="shared" si="6"/>
        <v>1</v>
      </c>
      <c r="AP64" s="21">
        <f t="shared" si="6"/>
        <v>1</v>
      </c>
      <c r="AQ64" s="20">
        <f t="shared" si="6"/>
        <v>0.4995</v>
      </c>
      <c r="AR64" s="20">
        <f t="shared" si="6"/>
        <v>0.7061998915760469</v>
      </c>
      <c r="AS64" s="20">
        <f t="shared" si="6"/>
        <v>0.95327014355314543</v>
      </c>
      <c r="AT64" s="20">
        <f t="shared" si="6"/>
        <v>1</v>
      </c>
      <c r="AU64" s="20">
        <f t="shared" si="6"/>
        <v>1</v>
      </c>
      <c r="AV64" s="20">
        <f t="shared" si="6"/>
        <v>1</v>
      </c>
      <c r="AW64" s="20">
        <f t="shared" si="6"/>
        <v>1</v>
      </c>
      <c r="AX64" s="20">
        <f t="shared" si="6"/>
        <v>1</v>
      </c>
      <c r="AY64" s="20">
        <f t="shared" si="6"/>
        <v>1</v>
      </c>
      <c r="AZ64" s="20">
        <f t="shared" si="6"/>
        <v>1</v>
      </c>
      <c r="BA64" s="29">
        <f t="shared" si="6"/>
        <v>0.5</v>
      </c>
      <c r="BB64" s="29">
        <f t="shared" si="6"/>
        <v>0.70690679837442139</v>
      </c>
      <c r="BC64" s="29">
        <f t="shared" si="6"/>
        <v>0.95422436792106646</v>
      </c>
      <c r="BD64" s="29">
        <f t="shared" si="6"/>
        <v>1</v>
      </c>
      <c r="BE64" s="29">
        <f t="shared" si="6"/>
        <v>1</v>
      </c>
      <c r="BF64" s="29">
        <f t="shared" si="6"/>
        <v>1</v>
      </c>
      <c r="BG64" s="29">
        <f t="shared" si="6"/>
        <v>1</v>
      </c>
      <c r="BH64" s="29">
        <f t="shared" si="6"/>
        <v>1</v>
      </c>
      <c r="BI64" s="29">
        <f t="shared" si="6"/>
        <v>1</v>
      </c>
      <c r="BJ64" s="30">
        <f t="shared" si="6"/>
        <v>1</v>
      </c>
      <c r="BL64" s="31">
        <f t="shared" si="3"/>
        <v>0</v>
      </c>
    </row>
    <row r="65" spans="2:64">
      <c r="AG65" s="28">
        <f t="shared" si="2"/>
        <v>0.4995</v>
      </c>
      <c r="AH65" s="21">
        <f t="shared" si="6"/>
        <v>0.52316574712298913</v>
      </c>
      <c r="AI65" s="21">
        <f t="shared" si="6"/>
        <v>0.82048721624405219</v>
      </c>
      <c r="AJ65" s="21">
        <f t="shared" si="6"/>
        <v>1</v>
      </c>
      <c r="AK65" s="21">
        <f t="shared" si="6"/>
        <v>1</v>
      </c>
      <c r="AL65" s="21">
        <f t="shared" si="6"/>
        <v>1</v>
      </c>
      <c r="AM65" s="21">
        <f t="shared" si="6"/>
        <v>1</v>
      </c>
      <c r="AN65" s="21">
        <f t="shared" si="6"/>
        <v>1</v>
      </c>
      <c r="AO65" s="21">
        <f t="shared" si="6"/>
        <v>1</v>
      </c>
      <c r="AP65" s="21">
        <f t="shared" si="6"/>
        <v>1</v>
      </c>
      <c r="AQ65" s="20">
        <f t="shared" si="6"/>
        <v>0.4995</v>
      </c>
      <c r="AR65" s="20">
        <f t="shared" si="6"/>
        <v>0.52316574712298913</v>
      </c>
      <c r="AS65" s="20">
        <f t="shared" si="6"/>
        <v>0.82048721624405219</v>
      </c>
      <c r="AT65" s="20">
        <f t="shared" si="6"/>
        <v>1</v>
      </c>
      <c r="AU65" s="20">
        <f t="shared" si="6"/>
        <v>1</v>
      </c>
      <c r="AV65" s="20">
        <f t="shared" si="6"/>
        <v>1</v>
      </c>
      <c r="AW65" s="20">
        <f t="shared" si="6"/>
        <v>1</v>
      </c>
      <c r="AX65" s="20">
        <f t="shared" si="6"/>
        <v>1</v>
      </c>
      <c r="AY65" s="20">
        <f t="shared" si="6"/>
        <v>1</v>
      </c>
      <c r="AZ65" s="20">
        <f t="shared" si="6"/>
        <v>1</v>
      </c>
      <c r="BA65" s="29">
        <f t="shared" si="6"/>
        <v>0.5</v>
      </c>
      <c r="BB65" s="29">
        <f t="shared" si="6"/>
        <v>0.5236894365595488</v>
      </c>
      <c r="BC65" s="29">
        <f t="shared" si="6"/>
        <v>0.82130852476882099</v>
      </c>
      <c r="BD65" s="29">
        <f t="shared" si="6"/>
        <v>1</v>
      </c>
      <c r="BE65" s="29">
        <f t="shared" si="6"/>
        <v>1</v>
      </c>
      <c r="BF65" s="29">
        <f t="shared" si="6"/>
        <v>1</v>
      </c>
      <c r="BG65" s="29">
        <f t="shared" si="6"/>
        <v>1</v>
      </c>
      <c r="BH65" s="29">
        <f t="shared" si="6"/>
        <v>1</v>
      </c>
      <c r="BI65" s="29">
        <f t="shared" si="6"/>
        <v>1</v>
      </c>
      <c r="BJ65" s="30">
        <f t="shared" si="6"/>
        <v>1</v>
      </c>
      <c r="BL65" s="31">
        <f t="shared" si="3"/>
        <v>0</v>
      </c>
    </row>
    <row r="66" spans="2:64">
      <c r="AG66" s="28">
        <f t="shared" si="2"/>
        <v>0.4995</v>
      </c>
      <c r="AH66" s="21">
        <f t="shared" si="6"/>
        <v>0.4995</v>
      </c>
      <c r="AI66" s="21">
        <f t="shared" si="6"/>
        <v>0.7061998915760469</v>
      </c>
      <c r="AJ66" s="21">
        <f t="shared" si="6"/>
        <v>0.95327014355314543</v>
      </c>
      <c r="AK66" s="21">
        <f t="shared" si="6"/>
        <v>1</v>
      </c>
      <c r="AL66" s="21">
        <f t="shared" si="6"/>
        <v>1</v>
      </c>
      <c r="AM66" s="21">
        <f t="shared" si="6"/>
        <v>1</v>
      </c>
      <c r="AN66" s="21">
        <f t="shared" si="6"/>
        <v>1</v>
      </c>
      <c r="AO66" s="21">
        <f t="shared" si="6"/>
        <v>1</v>
      </c>
      <c r="AP66" s="21">
        <f t="shared" si="6"/>
        <v>1</v>
      </c>
      <c r="AQ66" s="20">
        <f t="shared" si="6"/>
        <v>0.4995</v>
      </c>
      <c r="AR66" s="20">
        <f t="shared" si="6"/>
        <v>0.4995</v>
      </c>
      <c r="AS66" s="20">
        <f t="shared" si="6"/>
        <v>0.7061998915760469</v>
      </c>
      <c r="AT66" s="20">
        <f t="shared" si="6"/>
        <v>0.95327014355314543</v>
      </c>
      <c r="AU66" s="20">
        <f t="shared" si="6"/>
        <v>1</v>
      </c>
      <c r="AV66" s="20">
        <f t="shared" si="6"/>
        <v>1</v>
      </c>
      <c r="AW66" s="20">
        <f t="shared" si="6"/>
        <v>1</v>
      </c>
      <c r="AX66" s="20">
        <f t="shared" si="6"/>
        <v>1</v>
      </c>
      <c r="AY66" s="20">
        <f t="shared" si="6"/>
        <v>1</v>
      </c>
      <c r="AZ66" s="20">
        <f t="shared" si="6"/>
        <v>1</v>
      </c>
      <c r="BA66" s="29">
        <f t="shared" si="6"/>
        <v>0.5</v>
      </c>
      <c r="BB66" s="29">
        <f t="shared" si="6"/>
        <v>0.5</v>
      </c>
      <c r="BC66" s="29">
        <f t="shared" si="6"/>
        <v>0.70690679837442139</v>
      </c>
      <c r="BD66" s="29">
        <f t="shared" si="6"/>
        <v>0.95422436792106646</v>
      </c>
      <c r="BE66" s="29">
        <f t="shared" si="6"/>
        <v>1</v>
      </c>
      <c r="BF66" s="29">
        <f t="shared" si="6"/>
        <v>1</v>
      </c>
      <c r="BG66" s="29">
        <f t="shared" si="6"/>
        <v>1</v>
      </c>
      <c r="BH66" s="29">
        <f t="shared" si="6"/>
        <v>1</v>
      </c>
      <c r="BI66" s="29">
        <f t="shared" si="6"/>
        <v>1</v>
      </c>
      <c r="BJ66" s="30">
        <f t="shared" si="6"/>
        <v>1</v>
      </c>
      <c r="BL66" s="31">
        <f t="shared" si="3"/>
        <v>0</v>
      </c>
    </row>
    <row r="67" spans="2:64" ht="16" thickBot="1">
      <c r="AG67" s="33">
        <f t="shared" si="2"/>
        <v>0.4995</v>
      </c>
      <c r="AH67" s="34">
        <f t="shared" si="6"/>
        <v>0.4995</v>
      </c>
      <c r="AI67" s="34">
        <f t="shared" si="6"/>
        <v>0.52316574712298913</v>
      </c>
      <c r="AJ67" s="34">
        <f t="shared" si="6"/>
        <v>0.82048721624405219</v>
      </c>
      <c r="AK67" s="34">
        <f t="shared" si="6"/>
        <v>0.95327014355314554</v>
      </c>
      <c r="AL67" s="34">
        <f t="shared" si="6"/>
        <v>1</v>
      </c>
      <c r="AM67" s="34">
        <f t="shared" si="6"/>
        <v>1</v>
      </c>
      <c r="AN67" s="34">
        <f t="shared" si="6"/>
        <v>1</v>
      </c>
      <c r="AO67" s="34">
        <f t="shared" si="6"/>
        <v>1</v>
      </c>
      <c r="AP67" s="34">
        <f t="shared" si="6"/>
        <v>1</v>
      </c>
      <c r="AQ67" s="35">
        <f t="shared" si="6"/>
        <v>0.4995</v>
      </c>
      <c r="AR67" s="35">
        <f t="shared" si="6"/>
        <v>0.4995</v>
      </c>
      <c r="AS67" s="35">
        <f t="shared" si="6"/>
        <v>0.52316574712298913</v>
      </c>
      <c r="AT67" s="35">
        <f t="shared" si="6"/>
        <v>0.82048721624405219</v>
      </c>
      <c r="AU67" s="35">
        <f t="shared" si="6"/>
        <v>0.95327014355314554</v>
      </c>
      <c r="AV67" s="35">
        <f t="shared" si="6"/>
        <v>1</v>
      </c>
      <c r="AW67" s="35">
        <f t="shared" si="6"/>
        <v>1</v>
      </c>
      <c r="AX67" s="35">
        <f t="shared" si="6"/>
        <v>1</v>
      </c>
      <c r="AY67" s="35">
        <f t="shared" si="6"/>
        <v>1</v>
      </c>
      <c r="AZ67" s="35">
        <f t="shared" si="6"/>
        <v>1</v>
      </c>
      <c r="BA67" s="36">
        <f t="shared" si="6"/>
        <v>0.5</v>
      </c>
      <c r="BB67" s="36">
        <f t="shared" si="6"/>
        <v>0.5</v>
      </c>
      <c r="BC67" s="36">
        <f t="shared" si="6"/>
        <v>0.5236894365595488</v>
      </c>
      <c r="BD67" s="36">
        <f t="shared" si="6"/>
        <v>0.82130852476882099</v>
      </c>
      <c r="BE67" s="36">
        <f t="shared" si="6"/>
        <v>0.95422436792106657</v>
      </c>
      <c r="BF67" s="36">
        <f t="shared" si="6"/>
        <v>1</v>
      </c>
      <c r="BG67" s="36">
        <f t="shared" si="6"/>
        <v>1</v>
      </c>
      <c r="BH67" s="36">
        <f t="shared" si="6"/>
        <v>1</v>
      </c>
      <c r="BI67" s="36">
        <f t="shared" si="6"/>
        <v>1</v>
      </c>
      <c r="BJ67" s="37">
        <f t="shared" si="6"/>
        <v>1</v>
      </c>
      <c r="BL67" s="38">
        <f t="shared" si="3"/>
        <v>0</v>
      </c>
    </row>
    <row r="68" spans="2:64" ht="16" thickBot="1"/>
    <row r="69" spans="2:64" ht="16" thickBot="1">
      <c r="AG69" s="39">
        <f t="array" ref="AG69:BJ69">MMULT(B38:AE38,AG38:BJ67)</f>
        <v>-83229076.882938176</v>
      </c>
      <c r="AH69" s="40">
        <v>-82160984.314866737</v>
      </c>
      <c r="AI69" s="40">
        <v>-83871222.554710567</v>
      </c>
      <c r="AJ69" s="40">
        <v>-84585450.349013448</v>
      </c>
      <c r="AK69" s="40">
        <v>-76810625.597745255</v>
      </c>
      <c r="AL69" s="40">
        <v>-62065040.541111462</v>
      </c>
      <c r="AM69" s="40">
        <v>-46108760.061950624</v>
      </c>
      <c r="AN69" s="40">
        <v>-46105240.569159806</v>
      </c>
      <c r="AO69" s="40">
        <v>-46123194.928795613</v>
      </c>
      <c r="AP69" s="40">
        <v>-46131417.497125402</v>
      </c>
      <c r="AQ69" s="40">
        <v>-81032327.344392747</v>
      </c>
      <c r="AR69" s="40">
        <v>-82156398.517041892</v>
      </c>
      <c r="AS69" s="40">
        <v>-83864873.124067008</v>
      </c>
      <c r="AT69" s="40">
        <v>-84583654.295952618</v>
      </c>
      <c r="AU69" s="40">
        <v>-76877541.397677198</v>
      </c>
      <c r="AV69" s="40">
        <v>-62117678.106010668</v>
      </c>
      <c r="AW69" s="40">
        <v>-46145969.904682018</v>
      </c>
      <c r="AX69" s="40">
        <v>-46142453.396354109</v>
      </c>
      <c r="AY69" s="40">
        <v>-46159956.273713887</v>
      </c>
      <c r="AZ69" s="40">
        <v>-46168302.815790161</v>
      </c>
      <c r="BA69" s="40">
        <v>-81032196.704048261</v>
      </c>
      <c r="BB69" s="40">
        <v>-82156293.518610612</v>
      </c>
      <c r="BC69" s="40">
        <v>-83864851.642509103</v>
      </c>
      <c r="BD69" s="40">
        <v>-84583654.295952618</v>
      </c>
      <c r="BE69" s="40">
        <v>-76809335.984686509</v>
      </c>
      <c r="BF69" s="40">
        <v>-62064342.019130379</v>
      </c>
      <c r="BG69" s="40">
        <v>-46107828.832142152</v>
      </c>
      <c r="BH69" s="40">
        <v>-46104311.047597289</v>
      </c>
      <c r="BI69" s="40">
        <v>-46121841.534274787</v>
      </c>
      <c r="BJ69" s="41">
        <v>-46130215.499901071</v>
      </c>
      <c r="BL69" s="42">
        <f t="array" ref="BL69">MMULT(AG69:BJ69,BL38:BL67)</f>
        <v>376496893177573.25</v>
      </c>
    </row>
    <row r="70" spans="2:64" ht="16" thickBot="1"/>
    <row r="71" spans="2:64" ht="16" thickBot="1">
      <c r="BL71" s="43">
        <f>SQRT(BL69)</f>
        <v>19403527.853912886</v>
      </c>
    </row>
    <row r="72" spans="2:64" ht="16" thickBot="1">
      <c r="AG72" s="54" t="s">
        <v>8</v>
      </c>
    </row>
    <row r="73" spans="2:64" ht="16" thickBot="1">
      <c r="B73" s="6">
        <f>B3</f>
        <v>-1289583.0103579159</v>
      </c>
      <c r="C73" s="7">
        <f t="shared" ref="C73:AE73" si="7">C3</f>
        <v>-2.4496018886566171E-3</v>
      </c>
      <c r="D73" s="7">
        <f t="shared" si="7"/>
        <v>-20596.949995756149</v>
      </c>
      <c r="E73" s="7">
        <f t="shared" si="7"/>
        <v>-492242.95445188868</v>
      </c>
      <c r="F73" s="7">
        <f t="shared" si="7"/>
        <v>-5.9572979807853678E-2</v>
      </c>
      <c r="G73" s="7">
        <f t="shared" si="7"/>
        <v>-20197.626650854942</v>
      </c>
      <c r="H73" s="7">
        <f t="shared" si="7"/>
        <v>-5245839.5390330814</v>
      </c>
      <c r="I73" s="7">
        <f t="shared" si="7"/>
        <v>-42195.410498939447</v>
      </c>
      <c r="J73" s="7">
        <f t="shared" si="7"/>
        <v>-1882212.5290493111</v>
      </c>
      <c r="K73" s="7">
        <f t="shared" si="7"/>
        <v>0</v>
      </c>
      <c r="L73" s="8">
        <f t="shared" si="7"/>
        <v>-75751779.007127717</v>
      </c>
      <c r="M73" s="8">
        <f t="shared" si="7"/>
        <v>280.511037184624</v>
      </c>
      <c r="N73" s="8">
        <f t="shared" si="7"/>
        <v>1470.1558178663261</v>
      </c>
      <c r="O73" s="8">
        <f t="shared" si="7"/>
        <v>-16449.785142964683</v>
      </c>
      <c r="P73" s="8">
        <f t="shared" si="7"/>
        <v>-59409.797171372928</v>
      </c>
      <c r="Q73" s="8">
        <f t="shared" si="7"/>
        <v>-93358.024354481604</v>
      </c>
      <c r="R73" s="8">
        <f t="shared" si="7"/>
        <v>-22512.061756365001</v>
      </c>
      <c r="S73" s="8">
        <f t="shared" si="7"/>
        <v>0</v>
      </c>
      <c r="T73" s="8">
        <f t="shared" si="7"/>
        <v>0</v>
      </c>
      <c r="U73" s="8">
        <f t="shared" si="7"/>
        <v>0</v>
      </c>
      <c r="V73" s="9">
        <f t="shared" si="7"/>
        <v>145465.51988418738</v>
      </c>
      <c r="W73" s="9">
        <f t="shared" si="7"/>
        <v>-331078.93059245823</v>
      </c>
      <c r="X73" s="9">
        <f t="shared" si="7"/>
        <v>448629.68422889704</v>
      </c>
      <c r="Y73" s="9">
        <f t="shared" si="7"/>
        <v>0</v>
      </c>
      <c r="Z73" s="9">
        <f t="shared" si="7"/>
        <v>0</v>
      </c>
      <c r="AA73" s="9">
        <f t="shared" si="7"/>
        <v>0</v>
      </c>
      <c r="AB73" s="9">
        <f t="shared" si="7"/>
        <v>0</v>
      </c>
      <c r="AC73" s="9">
        <f t="shared" si="7"/>
        <v>0</v>
      </c>
      <c r="AD73" s="9">
        <f t="shared" si="7"/>
        <v>0</v>
      </c>
      <c r="AE73" s="10">
        <f t="shared" si="7"/>
        <v>0</v>
      </c>
      <c r="AG73" s="12">
        <f>MAX(2*AG3-1, 0.75*AG3)</f>
        <v>1</v>
      </c>
      <c r="AH73" s="13">
        <f t="shared" ref="AH73:BJ82" si="8">MAX(2*AH3-1, 0.75*AH3)</f>
        <v>0.94089106709701631</v>
      </c>
      <c r="AI73" s="13">
        <f t="shared" si="8"/>
        <v>0.82786237054245637</v>
      </c>
      <c r="AJ73" s="13">
        <f t="shared" si="8"/>
        <v>0.62116849194037416</v>
      </c>
      <c r="AK73" s="13">
        <f t="shared" si="8"/>
        <v>0.53919280007394466</v>
      </c>
      <c r="AL73" s="13">
        <f t="shared" si="8"/>
        <v>0.42414407902465279</v>
      </c>
      <c r="AM73" s="13">
        <f t="shared" si="8"/>
        <v>0.30000000000000004</v>
      </c>
      <c r="AN73" s="13">
        <f t="shared" si="8"/>
        <v>0.30000000000000004</v>
      </c>
      <c r="AO73" s="13">
        <f t="shared" si="8"/>
        <v>0.30000000000000004</v>
      </c>
      <c r="AP73" s="13">
        <f t="shared" si="8"/>
        <v>0.30000000000000004</v>
      </c>
      <c r="AQ73" s="14">
        <f t="shared" si="8"/>
        <v>0.998</v>
      </c>
      <c r="AR73" s="14">
        <f t="shared" si="8"/>
        <v>0.93895017602991926</v>
      </c>
      <c r="AS73" s="14">
        <f t="shared" si="8"/>
        <v>0.82603450817191382</v>
      </c>
      <c r="AT73" s="14">
        <f t="shared" si="8"/>
        <v>0.61954732344843388</v>
      </c>
      <c r="AU73" s="14">
        <f t="shared" si="8"/>
        <v>0.53865360727387068</v>
      </c>
      <c r="AV73" s="14">
        <f t="shared" si="8"/>
        <v>0.4237199349456281</v>
      </c>
      <c r="AW73" s="14">
        <f t="shared" si="8"/>
        <v>0.29970000000000002</v>
      </c>
      <c r="AX73" s="14">
        <f t="shared" si="8"/>
        <v>0.29970000000000002</v>
      </c>
      <c r="AY73" s="14">
        <f t="shared" si="8"/>
        <v>0.29970000000000002</v>
      </c>
      <c r="AZ73" s="14">
        <f t="shared" si="8"/>
        <v>0.29970000000000002</v>
      </c>
      <c r="BA73" s="15">
        <f t="shared" si="8"/>
        <v>0.998</v>
      </c>
      <c r="BB73" s="15">
        <f t="shared" si="8"/>
        <v>0.93895017602991926</v>
      </c>
      <c r="BC73" s="15">
        <f t="shared" si="8"/>
        <v>0.82603450817191382</v>
      </c>
      <c r="BD73" s="15">
        <f t="shared" si="8"/>
        <v>0.61954732344843388</v>
      </c>
      <c r="BE73" s="15">
        <f t="shared" si="8"/>
        <v>0.53865360727387068</v>
      </c>
      <c r="BF73" s="15">
        <f t="shared" si="8"/>
        <v>0.4237199349456281</v>
      </c>
      <c r="BG73" s="15">
        <f t="shared" si="8"/>
        <v>0.29970000000000002</v>
      </c>
      <c r="BH73" s="15">
        <f t="shared" si="8"/>
        <v>0.29970000000000002</v>
      </c>
      <c r="BI73" s="15">
        <f t="shared" si="8"/>
        <v>0.29970000000000002</v>
      </c>
      <c r="BJ73" s="16">
        <f t="shared" si="8"/>
        <v>0.29970000000000002</v>
      </c>
      <c r="BL73" s="17">
        <f>BL3</f>
        <v>-911872.89152704435</v>
      </c>
    </row>
    <row r="74" spans="2:64">
      <c r="AG74" s="18">
        <f t="shared" ref="AG74:AV102" si="9">MAX(2*AG4-1, 0.75*AG4)</f>
        <v>0.94089106709701631</v>
      </c>
      <c r="AH74" s="19">
        <f t="shared" si="9"/>
        <v>1</v>
      </c>
      <c r="AI74" s="19">
        <f t="shared" si="9"/>
        <v>0.94089106709701631</v>
      </c>
      <c r="AJ74" s="19">
        <f t="shared" si="9"/>
        <v>0.82786237054245637</v>
      </c>
      <c r="AK74" s="19">
        <f t="shared" si="9"/>
        <v>0.72141595285011562</v>
      </c>
      <c r="AL74" s="19">
        <f t="shared" si="9"/>
        <v>0.57253462075263983</v>
      </c>
      <c r="AM74" s="19">
        <f t="shared" si="9"/>
        <v>0.42414407902465279</v>
      </c>
      <c r="AN74" s="19">
        <f t="shared" si="9"/>
        <v>0.31421366193572925</v>
      </c>
      <c r="AO74" s="19">
        <f t="shared" si="9"/>
        <v>0.30000000000000004</v>
      </c>
      <c r="AP74" s="19">
        <f t="shared" si="9"/>
        <v>0.30000000000000004</v>
      </c>
      <c r="AQ74" s="20">
        <f t="shared" si="9"/>
        <v>0.93895017602991926</v>
      </c>
      <c r="AR74" s="20">
        <f t="shared" si="9"/>
        <v>0.998</v>
      </c>
      <c r="AS74" s="20">
        <f t="shared" si="9"/>
        <v>0.93895017602991926</v>
      </c>
      <c r="AT74" s="20">
        <f t="shared" si="9"/>
        <v>0.82603450817191382</v>
      </c>
      <c r="AU74" s="20">
        <f t="shared" si="9"/>
        <v>0.71969453689726559</v>
      </c>
      <c r="AV74" s="20">
        <f t="shared" si="9"/>
        <v>0.57196208613188726</v>
      </c>
      <c r="AW74" s="20">
        <f t="shared" si="8"/>
        <v>0.4237199349456281</v>
      </c>
      <c r="AX74" s="20">
        <f t="shared" si="8"/>
        <v>0.31389944827379351</v>
      </c>
      <c r="AY74" s="20">
        <f t="shared" si="8"/>
        <v>0.29970000000000002</v>
      </c>
      <c r="AZ74" s="20">
        <f t="shared" si="8"/>
        <v>0.29970000000000002</v>
      </c>
      <c r="BA74" s="21">
        <f t="shared" si="8"/>
        <v>0.93895017602991926</v>
      </c>
      <c r="BB74" s="21">
        <f t="shared" si="8"/>
        <v>0.998</v>
      </c>
      <c r="BC74" s="21">
        <f t="shared" si="8"/>
        <v>0.93895017602991926</v>
      </c>
      <c r="BD74" s="21">
        <f t="shared" si="8"/>
        <v>0.82603450817191382</v>
      </c>
      <c r="BE74" s="21">
        <f t="shared" si="8"/>
        <v>0.71969453689726559</v>
      </c>
      <c r="BF74" s="21">
        <f t="shared" si="8"/>
        <v>0.57196208613188726</v>
      </c>
      <c r="BG74" s="21">
        <f t="shared" si="8"/>
        <v>0.4237199349456281</v>
      </c>
      <c r="BH74" s="21">
        <f t="shared" si="8"/>
        <v>0.31389944827379351</v>
      </c>
      <c r="BI74" s="21">
        <f t="shared" si="8"/>
        <v>0.29970000000000002</v>
      </c>
      <c r="BJ74" s="22">
        <f t="shared" si="8"/>
        <v>0.29970000000000002</v>
      </c>
      <c r="BL74" s="23">
        <f t="shared" ref="BL74:BL102" si="10">BL4</f>
        <v>-1.7325779169418949E-3</v>
      </c>
    </row>
    <row r="75" spans="2:64">
      <c r="AG75" s="18">
        <f t="shared" si="9"/>
        <v>0.99817356243940814</v>
      </c>
      <c r="AH75" s="19">
        <f t="shared" si="8"/>
        <v>0.94089106709701631</v>
      </c>
      <c r="AI75" s="19">
        <f t="shared" si="8"/>
        <v>1</v>
      </c>
      <c r="AJ75" s="19">
        <f t="shared" si="8"/>
        <v>0.94089106709701631</v>
      </c>
      <c r="AK75" s="19">
        <f t="shared" si="8"/>
        <v>0.88352906716849744</v>
      </c>
      <c r="AL75" s="19">
        <f t="shared" si="8"/>
        <v>0.77384087343431496</v>
      </c>
      <c r="AM75" s="19">
        <f t="shared" si="8"/>
        <v>0.57253462075263983</v>
      </c>
      <c r="AN75" s="19">
        <f t="shared" si="8"/>
        <v>0.49278511486129256</v>
      </c>
      <c r="AO75" s="19">
        <f t="shared" si="8"/>
        <v>0.42414407902465279</v>
      </c>
      <c r="AP75" s="19">
        <f t="shared" si="8"/>
        <v>0.31421366193572925</v>
      </c>
      <c r="AQ75" s="20">
        <f t="shared" si="8"/>
        <v>0.82603450817191382</v>
      </c>
      <c r="AR75" s="20">
        <f t="shared" si="8"/>
        <v>0.93895017602991926</v>
      </c>
      <c r="AS75" s="20">
        <f t="shared" si="8"/>
        <v>0.998</v>
      </c>
      <c r="AT75" s="20">
        <f t="shared" si="8"/>
        <v>0.93895017602991926</v>
      </c>
      <c r="AU75" s="20">
        <f t="shared" si="8"/>
        <v>0.88164553810132884</v>
      </c>
      <c r="AV75" s="20">
        <f t="shared" si="8"/>
        <v>0.77206703256088072</v>
      </c>
      <c r="AW75" s="20">
        <f t="shared" si="8"/>
        <v>0.57196208613188726</v>
      </c>
      <c r="AX75" s="20">
        <f t="shared" si="8"/>
        <v>0.49229232974643128</v>
      </c>
      <c r="AY75" s="20">
        <f t="shared" si="8"/>
        <v>0.4237199349456281</v>
      </c>
      <c r="AZ75" s="20">
        <f t="shared" si="8"/>
        <v>0.31389944827379351</v>
      </c>
      <c r="BA75" s="21">
        <f t="shared" si="8"/>
        <v>0.82603450817191382</v>
      </c>
      <c r="BB75" s="21">
        <f t="shared" si="8"/>
        <v>0.93895017602991926</v>
      </c>
      <c r="BC75" s="21">
        <f t="shared" si="8"/>
        <v>0.998</v>
      </c>
      <c r="BD75" s="21">
        <f t="shared" si="8"/>
        <v>0.93895017602991926</v>
      </c>
      <c r="BE75" s="21">
        <f t="shared" si="8"/>
        <v>0.88164553810132884</v>
      </c>
      <c r="BF75" s="21">
        <f t="shared" si="8"/>
        <v>0.77206703256088072</v>
      </c>
      <c r="BG75" s="21">
        <f t="shared" si="8"/>
        <v>0.57196208613188726</v>
      </c>
      <c r="BH75" s="21">
        <f t="shared" si="8"/>
        <v>0.49229232974643128</v>
      </c>
      <c r="BI75" s="21">
        <f t="shared" si="8"/>
        <v>0.4237199349456281</v>
      </c>
      <c r="BJ75" s="22">
        <f t="shared" si="8"/>
        <v>0.31389944827379351</v>
      </c>
      <c r="BL75" s="23">
        <f t="shared" si="10"/>
        <v>-14573.601196110776</v>
      </c>
    </row>
    <row r="76" spans="2:64">
      <c r="AG76" s="18">
        <f t="shared" si="9"/>
        <v>0.94078462531817153</v>
      </c>
      <c r="AH76" s="19">
        <f t="shared" si="8"/>
        <v>0.82786237054245637</v>
      </c>
      <c r="AI76" s="19">
        <f t="shared" si="8"/>
        <v>0.94089106709701631</v>
      </c>
      <c r="AJ76" s="19">
        <f t="shared" si="8"/>
        <v>1</v>
      </c>
      <c r="AK76" s="19">
        <f t="shared" si="8"/>
        <v>0.97022387920612529</v>
      </c>
      <c r="AL76" s="19">
        <f t="shared" si="8"/>
        <v>0.91199496366619992</v>
      </c>
      <c r="AM76" s="19">
        <f t="shared" si="8"/>
        <v>0.77384087343431496</v>
      </c>
      <c r="AN76" s="19">
        <f t="shared" si="8"/>
        <v>0.64566931611203682</v>
      </c>
      <c r="AO76" s="19">
        <f t="shared" si="8"/>
        <v>0.57253462075263983</v>
      </c>
      <c r="AP76" s="19">
        <f t="shared" si="8"/>
        <v>0.49278511486129256</v>
      </c>
      <c r="AQ76" s="20">
        <f t="shared" si="8"/>
        <v>0.61954732344843388</v>
      </c>
      <c r="AR76" s="20">
        <f t="shared" si="8"/>
        <v>0.82603450817191382</v>
      </c>
      <c r="AS76" s="20">
        <f t="shared" si="8"/>
        <v>0.93895017602991926</v>
      </c>
      <c r="AT76" s="20">
        <f t="shared" si="8"/>
        <v>0.998</v>
      </c>
      <c r="AU76" s="20">
        <f t="shared" si="8"/>
        <v>0.9682536553269192</v>
      </c>
      <c r="AV76" s="20">
        <f t="shared" si="8"/>
        <v>0.9100829687025338</v>
      </c>
      <c r="AW76" s="20">
        <f t="shared" si="8"/>
        <v>0.77206703256088072</v>
      </c>
      <c r="AX76" s="20">
        <f t="shared" si="8"/>
        <v>0.64402364679592483</v>
      </c>
      <c r="AY76" s="20">
        <f t="shared" si="8"/>
        <v>0.57196208613188726</v>
      </c>
      <c r="AZ76" s="20">
        <f t="shared" si="8"/>
        <v>0.49229232974643128</v>
      </c>
      <c r="BA76" s="21">
        <f t="shared" si="8"/>
        <v>0.61954732344843388</v>
      </c>
      <c r="BB76" s="21">
        <f t="shared" si="8"/>
        <v>0.82603450817191382</v>
      </c>
      <c r="BC76" s="21">
        <f t="shared" si="8"/>
        <v>0.93895017602991926</v>
      </c>
      <c r="BD76" s="21">
        <f t="shared" si="8"/>
        <v>0.998</v>
      </c>
      <c r="BE76" s="21">
        <f t="shared" si="8"/>
        <v>0.9682536553269192</v>
      </c>
      <c r="BF76" s="21">
        <f t="shared" si="8"/>
        <v>0.9100829687025338</v>
      </c>
      <c r="BG76" s="21">
        <f t="shared" si="8"/>
        <v>0.77206703256088072</v>
      </c>
      <c r="BH76" s="21">
        <f t="shared" si="8"/>
        <v>0.64402364679592483</v>
      </c>
      <c r="BI76" s="21">
        <f t="shared" si="8"/>
        <v>0.57196208613188726</v>
      </c>
      <c r="BJ76" s="22">
        <f t="shared" si="8"/>
        <v>0.49229232974643128</v>
      </c>
      <c r="BL76" s="23">
        <f t="shared" si="10"/>
        <v>-347684.88259054522</v>
      </c>
    </row>
    <row r="77" spans="2:64">
      <c r="AG77" s="18">
        <f t="shared" si="9"/>
        <v>0.8783640017553882</v>
      </c>
      <c r="AH77" s="19">
        <f t="shared" si="8"/>
        <v>0.72141595285011562</v>
      </c>
      <c r="AI77" s="19">
        <f t="shared" si="8"/>
        <v>0.88352906716849744</v>
      </c>
      <c r="AJ77" s="19">
        <f t="shared" si="8"/>
        <v>0.97022387920612529</v>
      </c>
      <c r="AK77" s="19">
        <f t="shared" si="8"/>
        <v>1</v>
      </c>
      <c r="AL77" s="19">
        <f t="shared" si="8"/>
        <v>0.96039734661351051</v>
      </c>
      <c r="AM77" s="19">
        <f t="shared" si="8"/>
        <v>0.86478763981189655</v>
      </c>
      <c r="AN77" s="19">
        <f t="shared" si="8"/>
        <v>0.77384087343431496</v>
      </c>
      <c r="AO77" s="19">
        <f t="shared" si="8"/>
        <v>0.68732963319276741</v>
      </c>
      <c r="AP77" s="19">
        <f t="shared" si="8"/>
        <v>0.57253462075263994</v>
      </c>
      <c r="AQ77" s="20">
        <f t="shared" si="8"/>
        <v>0.53865360727387068</v>
      </c>
      <c r="AR77" s="20">
        <f t="shared" si="8"/>
        <v>0.71969453689726559</v>
      </c>
      <c r="AS77" s="20">
        <f t="shared" si="8"/>
        <v>0.88164553810132884</v>
      </c>
      <c r="AT77" s="20">
        <f t="shared" si="8"/>
        <v>0.9682536553269192</v>
      </c>
      <c r="AU77" s="20">
        <f t="shared" si="8"/>
        <v>0.998</v>
      </c>
      <c r="AV77" s="20">
        <f t="shared" si="8"/>
        <v>0.95843694926689693</v>
      </c>
      <c r="AW77" s="20">
        <f t="shared" si="8"/>
        <v>0.86292285217208464</v>
      </c>
      <c r="AX77" s="20">
        <f t="shared" si="8"/>
        <v>0.77206703256088072</v>
      </c>
      <c r="AY77" s="20">
        <f t="shared" si="8"/>
        <v>0.68564230355957467</v>
      </c>
      <c r="AZ77" s="20">
        <f t="shared" si="8"/>
        <v>0.57196208613188737</v>
      </c>
      <c r="BA77" s="21">
        <f t="shared" si="8"/>
        <v>0.53865360727387068</v>
      </c>
      <c r="BB77" s="21">
        <f t="shared" si="8"/>
        <v>0.71969453689726559</v>
      </c>
      <c r="BC77" s="21">
        <f t="shared" si="8"/>
        <v>0.88164553810132884</v>
      </c>
      <c r="BD77" s="21">
        <f t="shared" si="8"/>
        <v>0.9682536553269192</v>
      </c>
      <c r="BE77" s="21">
        <f t="shared" si="8"/>
        <v>0.998</v>
      </c>
      <c r="BF77" s="21">
        <f t="shared" si="8"/>
        <v>0.95843694926689693</v>
      </c>
      <c r="BG77" s="21">
        <f t="shared" si="8"/>
        <v>0.86292285217208464</v>
      </c>
      <c r="BH77" s="21">
        <f t="shared" si="8"/>
        <v>0.77206703256088072</v>
      </c>
      <c r="BI77" s="21">
        <f t="shared" si="8"/>
        <v>0.68564230355957467</v>
      </c>
      <c r="BJ77" s="22">
        <f t="shared" si="8"/>
        <v>0.57196208613188737</v>
      </c>
      <c r="BL77" s="23">
        <f t="shared" si="10"/>
        <v>-4.1947283183194947E-2</v>
      </c>
    </row>
    <row r="78" spans="2:64">
      <c r="AG78" s="18">
        <f t="shared" si="9"/>
        <v>0.75669416583577664</v>
      </c>
      <c r="AH78" s="19">
        <f t="shared" si="8"/>
        <v>0.57253462075263983</v>
      </c>
      <c r="AI78" s="19">
        <f t="shared" si="8"/>
        <v>0.77384087343431496</v>
      </c>
      <c r="AJ78" s="19">
        <f t="shared" si="8"/>
        <v>0.91199496366619992</v>
      </c>
      <c r="AK78" s="19">
        <f t="shared" si="8"/>
        <v>0.96039734661351051</v>
      </c>
      <c r="AL78" s="19">
        <f t="shared" si="8"/>
        <v>1</v>
      </c>
      <c r="AM78" s="19">
        <f t="shared" si="8"/>
        <v>0.94089106709701631</v>
      </c>
      <c r="AN78" s="19">
        <f t="shared" si="8"/>
        <v>0.88352906716849744</v>
      </c>
      <c r="AO78" s="19">
        <f t="shared" si="8"/>
        <v>0.82786237054245637</v>
      </c>
      <c r="AP78" s="19">
        <f t="shared" si="8"/>
        <v>0.72141595285011562</v>
      </c>
      <c r="AQ78" s="20">
        <f t="shared" si="8"/>
        <v>0.4237199349456281</v>
      </c>
      <c r="AR78" s="20">
        <f t="shared" si="8"/>
        <v>0.57196208613188726</v>
      </c>
      <c r="AS78" s="20">
        <f t="shared" si="8"/>
        <v>0.77206703256088072</v>
      </c>
      <c r="AT78" s="20">
        <f t="shared" si="8"/>
        <v>0.9100829687025338</v>
      </c>
      <c r="AU78" s="20">
        <f t="shared" si="8"/>
        <v>0.95843694926689693</v>
      </c>
      <c r="AV78" s="20">
        <f t="shared" si="8"/>
        <v>0.998</v>
      </c>
      <c r="AW78" s="20">
        <f t="shared" si="8"/>
        <v>0.93895017602991926</v>
      </c>
      <c r="AX78" s="20">
        <f t="shared" si="8"/>
        <v>0.88164553810132884</v>
      </c>
      <c r="AY78" s="20">
        <f t="shared" si="8"/>
        <v>0.82603450817191382</v>
      </c>
      <c r="AZ78" s="20">
        <f t="shared" si="8"/>
        <v>0.71969453689726559</v>
      </c>
      <c r="BA78" s="21">
        <f t="shared" si="8"/>
        <v>0.4237199349456281</v>
      </c>
      <c r="BB78" s="21">
        <f t="shared" si="8"/>
        <v>0.57196208613188726</v>
      </c>
      <c r="BC78" s="21">
        <f t="shared" si="8"/>
        <v>0.77206703256088072</v>
      </c>
      <c r="BD78" s="21">
        <f t="shared" si="8"/>
        <v>0.9100829687025338</v>
      </c>
      <c r="BE78" s="21">
        <f t="shared" si="8"/>
        <v>0.95843694926689693</v>
      </c>
      <c r="BF78" s="21">
        <f t="shared" si="8"/>
        <v>0.998</v>
      </c>
      <c r="BG78" s="21">
        <f t="shared" si="8"/>
        <v>0.93895017602991926</v>
      </c>
      <c r="BH78" s="21">
        <f t="shared" si="8"/>
        <v>0.88164553810132884</v>
      </c>
      <c r="BI78" s="21">
        <f t="shared" si="8"/>
        <v>0.82603450817191382</v>
      </c>
      <c r="BJ78" s="22">
        <f t="shared" si="8"/>
        <v>0.71969453689726559</v>
      </c>
      <c r="BL78" s="23">
        <f t="shared" si="10"/>
        <v>-14052.423417123753</v>
      </c>
    </row>
    <row r="79" spans="2:64">
      <c r="AG79" s="18">
        <f t="shared" si="9"/>
        <v>0.54923289921901108</v>
      </c>
      <c r="AH79" s="19">
        <f t="shared" si="8"/>
        <v>0.42414407902465279</v>
      </c>
      <c r="AI79" s="19">
        <f t="shared" si="8"/>
        <v>0.57253462075263983</v>
      </c>
      <c r="AJ79" s="19">
        <f t="shared" si="8"/>
        <v>0.77384087343431496</v>
      </c>
      <c r="AK79" s="19">
        <f t="shared" si="8"/>
        <v>0.86478763981189655</v>
      </c>
      <c r="AL79" s="19">
        <f t="shared" si="8"/>
        <v>0.94089106709701631</v>
      </c>
      <c r="AM79" s="19">
        <f t="shared" si="8"/>
        <v>1</v>
      </c>
      <c r="AN79" s="19">
        <f t="shared" si="8"/>
        <v>0.97022387920612529</v>
      </c>
      <c r="AO79" s="19">
        <f t="shared" si="8"/>
        <v>0.94089106709701631</v>
      </c>
      <c r="AP79" s="19">
        <f t="shared" si="8"/>
        <v>0.88352906716849744</v>
      </c>
      <c r="AQ79" s="20">
        <f t="shared" si="8"/>
        <v>0.29970000000000002</v>
      </c>
      <c r="AR79" s="20">
        <f t="shared" si="8"/>
        <v>0.4237199349456281</v>
      </c>
      <c r="AS79" s="20">
        <f t="shared" si="8"/>
        <v>0.57196208613188726</v>
      </c>
      <c r="AT79" s="20">
        <f t="shared" si="8"/>
        <v>0.77206703256088072</v>
      </c>
      <c r="AU79" s="20">
        <f t="shared" si="8"/>
        <v>0.86292285217208464</v>
      </c>
      <c r="AV79" s="20">
        <f t="shared" si="8"/>
        <v>0.93895017602991926</v>
      </c>
      <c r="AW79" s="20">
        <f t="shared" si="8"/>
        <v>0.998</v>
      </c>
      <c r="AX79" s="20">
        <f t="shared" si="8"/>
        <v>0.9682536553269192</v>
      </c>
      <c r="AY79" s="20">
        <f t="shared" si="8"/>
        <v>0.93895017602991926</v>
      </c>
      <c r="AZ79" s="20">
        <f t="shared" si="8"/>
        <v>0.88164553810132884</v>
      </c>
      <c r="BA79" s="21">
        <f t="shared" si="8"/>
        <v>0.29970000000000002</v>
      </c>
      <c r="BB79" s="21">
        <f t="shared" si="8"/>
        <v>0.4237199349456281</v>
      </c>
      <c r="BC79" s="21">
        <f t="shared" si="8"/>
        <v>0.57196208613188726</v>
      </c>
      <c r="BD79" s="21">
        <f t="shared" si="8"/>
        <v>0.77206703256088072</v>
      </c>
      <c r="BE79" s="21">
        <f t="shared" si="8"/>
        <v>0.86292285217208464</v>
      </c>
      <c r="BF79" s="21">
        <f t="shared" si="8"/>
        <v>0.93895017602991926</v>
      </c>
      <c r="BG79" s="21">
        <f t="shared" si="8"/>
        <v>0.998</v>
      </c>
      <c r="BH79" s="21">
        <f t="shared" si="8"/>
        <v>0.9682536553269192</v>
      </c>
      <c r="BI79" s="21">
        <f t="shared" si="8"/>
        <v>0.93895017602991926</v>
      </c>
      <c r="BJ79" s="22">
        <f t="shared" si="8"/>
        <v>0.88164553810132884</v>
      </c>
      <c r="BL79" s="23">
        <f t="shared" si="10"/>
        <v>-3546539.8350677057</v>
      </c>
    </row>
    <row r="80" spans="2:64">
      <c r="AG80" s="18">
        <f t="shared" si="9"/>
        <v>0.41804111598852528</v>
      </c>
      <c r="AH80" s="19">
        <f t="shared" si="8"/>
        <v>0.31421366193572925</v>
      </c>
      <c r="AI80" s="19">
        <f t="shared" si="8"/>
        <v>0.49278511486129256</v>
      </c>
      <c r="AJ80" s="19">
        <f t="shared" si="8"/>
        <v>0.64566931611203682</v>
      </c>
      <c r="AK80" s="19">
        <f t="shared" si="8"/>
        <v>0.77384087343431496</v>
      </c>
      <c r="AL80" s="19">
        <f t="shared" si="8"/>
        <v>0.88352906716849744</v>
      </c>
      <c r="AM80" s="19">
        <f t="shared" si="8"/>
        <v>0.97022387920612529</v>
      </c>
      <c r="AN80" s="19">
        <f t="shared" si="8"/>
        <v>1</v>
      </c>
      <c r="AO80" s="19">
        <f t="shared" si="8"/>
        <v>0.98009966749833621</v>
      </c>
      <c r="AP80" s="19">
        <f t="shared" si="8"/>
        <v>0.94089106709701631</v>
      </c>
      <c r="AQ80" s="20">
        <f t="shared" si="8"/>
        <v>0.29970000000000002</v>
      </c>
      <c r="AR80" s="20">
        <f t="shared" si="8"/>
        <v>0.31389944827379351</v>
      </c>
      <c r="AS80" s="20">
        <f t="shared" si="8"/>
        <v>0.49229232974643128</v>
      </c>
      <c r="AT80" s="20">
        <f t="shared" si="8"/>
        <v>0.64402364679592483</v>
      </c>
      <c r="AU80" s="20">
        <f t="shared" si="8"/>
        <v>0.77206703256088072</v>
      </c>
      <c r="AV80" s="20">
        <f t="shared" si="8"/>
        <v>0.88164553810132884</v>
      </c>
      <c r="AW80" s="20">
        <f t="shared" si="8"/>
        <v>0.9682536553269192</v>
      </c>
      <c r="AX80" s="20">
        <f t="shared" si="8"/>
        <v>0.998</v>
      </c>
      <c r="AY80" s="20">
        <f t="shared" si="8"/>
        <v>0.97811956783083787</v>
      </c>
      <c r="AZ80" s="20">
        <f t="shared" si="8"/>
        <v>0.93895017602991926</v>
      </c>
      <c r="BA80" s="21">
        <f t="shared" si="8"/>
        <v>0.29970000000000002</v>
      </c>
      <c r="BB80" s="21">
        <f t="shared" si="8"/>
        <v>0.31389944827379351</v>
      </c>
      <c r="BC80" s="21">
        <f t="shared" si="8"/>
        <v>0.49229232974643128</v>
      </c>
      <c r="BD80" s="21">
        <f t="shared" si="8"/>
        <v>0.64402364679592483</v>
      </c>
      <c r="BE80" s="21">
        <f t="shared" si="8"/>
        <v>0.77206703256088072</v>
      </c>
      <c r="BF80" s="21">
        <f t="shared" si="8"/>
        <v>0.88164553810132884</v>
      </c>
      <c r="BG80" s="21">
        <f t="shared" si="8"/>
        <v>0.9682536553269192</v>
      </c>
      <c r="BH80" s="21">
        <f t="shared" si="8"/>
        <v>0.998</v>
      </c>
      <c r="BI80" s="21">
        <f t="shared" si="8"/>
        <v>0.97811956783083787</v>
      </c>
      <c r="BJ80" s="22">
        <f t="shared" si="8"/>
        <v>0.93895017602991926</v>
      </c>
      <c r="BL80" s="23">
        <f t="shared" si="10"/>
        <v>-27828.153413970951</v>
      </c>
    </row>
    <row r="81" spans="33:64">
      <c r="AG81" s="18">
        <f t="shared" si="9"/>
        <v>0.30000000000000004</v>
      </c>
      <c r="AH81" s="19">
        <f t="shared" si="8"/>
        <v>0.30000000000000004</v>
      </c>
      <c r="AI81" s="19">
        <f t="shared" si="8"/>
        <v>0.42414407902465279</v>
      </c>
      <c r="AJ81" s="19">
        <f t="shared" si="8"/>
        <v>0.57253462075263983</v>
      </c>
      <c r="AK81" s="19">
        <f t="shared" si="8"/>
        <v>0.68732963319276741</v>
      </c>
      <c r="AL81" s="19">
        <f t="shared" si="8"/>
        <v>0.82786237054245637</v>
      </c>
      <c r="AM81" s="19">
        <f t="shared" si="8"/>
        <v>0.94089106709701631</v>
      </c>
      <c r="AN81" s="19">
        <f t="shared" si="8"/>
        <v>0.98009966749833621</v>
      </c>
      <c r="AO81" s="19">
        <f t="shared" si="8"/>
        <v>1</v>
      </c>
      <c r="AP81" s="19">
        <f t="shared" si="8"/>
        <v>0.97022387920612529</v>
      </c>
      <c r="AQ81" s="20">
        <f t="shared" si="8"/>
        <v>0.29970000000000002</v>
      </c>
      <c r="AR81" s="20">
        <f t="shared" si="8"/>
        <v>0.29970000000000002</v>
      </c>
      <c r="AS81" s="20">
        <f t="shared" si="8"/>
        <v>0.4237199349456281</v>
      </c>
      <c r="AT81" s="20">
        <f t="shared" si="8"/>
        <v>0.57196208613188726</v>
      </c>
      <c r="AU81" s="20">
        <f t="shared" si="8"/>
        <v>0.68564230355957467</v>
      </c>
      <c r="AV81" s="20">
        <f t="shared" si="8"/>
        <v>0.82603450817191382</v>
      </c>
      <c r="AW81" s="20">
        <f t="shared" si="8"/>
        <v>0.93895017602991926</v>
      </c>
      <c r="AX81" s="20">
        <f t="shared" si="8"/>
        <v>0.97811956783083787</v>
      </c>
      <c r="AY81" s="20">
        <f t="shared" si="8"/>
        <v>0.998</v>
      </c>
      <c r="AZ81" s="20">
        <f t="shared" si="8"/>
        <v>0.9682536553269192</v>
      </c>
      <c r="BA81" s="21">
        <f t="shared" si="8"/>
        <v>0.29970000000000002</v>
      </c>
      <c r="BB81" s="21">
        <f t="shared" si="8"/>
        <v>0.29970000000000002</v>
      </c>
      <c r="BC81" s="21">
        <f t="shared" si="8"/>
        <v>0.4237199349456281</v>
      </c>
      <c r="BD81" s="21">
        <f t="shared" si="8"/>
        <v>0.57196208613188726</v>
      </c>
      <c r="BE81" s="21">
        <f t="shared" si="8"/>
        <v>0.68564230355957467</v>
      </c>
      <c r="BF81" s="21">
        <f t="shared" si="8"/>
        <v>0.82603450817191382</v>
      </c>
      <c r="BG81" s="21">
        <f t="shared" si="8"/>
        <v>0.93895017602991926</v>
      </c>
      <c r="BH81" s="21">
        <f t="shared" si="8"/>
        <v>0.97811956783083787</v>
      </c>
      <c r="BI81" s="21">
        <f t="shared" si="8"/>
        <v>0.998</v>
      </c>
      <c r="BJ81" s="22">
        <f t="shared" si="8"/>
        <v>0.9682536553269192</v>
      </c>
      <c r="BL81" s="23">
        <f t="shared" si="10"/>
        <v>-1183602.8459766759</v>
      </c>
    </row>
    <row r="82" spans="33:64">
      <c r="AG82" s="18">
        <f t="shared" si="9"/>
        <v>0.30000000000000004</v>
      </c>
      <c r="AH82" s="19">
        <f t="shared" si="8"/>
        <v>0.30000000000000004</v>
      </c>
      <c r="AI82" s="19">
        <f t="shared" si="8"/>
        <v>0.31421366193572925</v>
      </c>
      <c r="AJ82" s="19">
        <f t="shared" si="8"/>
        <v>0.49278511486129256</v>
      </c>
      <c r="AK82" s="19">
        <f t="shared" si="8"/>
        <v>0.57253462075263994</v>
      </c>
      <c r="AL82" s="19">
        <f t="shared" si="8"/>
        <v>0.72141595285011562</v>
      </c>
      <c r="AM82" s="19">
        <f t="shared" si="8"/>
        <v>0.88352906716849744</v>
      </c>
      <c r="AN82" s="19">
        <f t="shared" si="8"/>
        <v>0.94089106709701631</v>
      </c>
      <c r="AO82" s="19">
        <f t="shared" si="8"/>
        <v>0.97022387920612529</v>
      </c>
      <c r="AP82" s="19">
        <f t="shared" si="8"/>
        <v>1</v>
      </c>
      <c r="AQ82" s="20">
        <f t="shared" ref="AH82:BJ91" si="11">MAX(2*AQ12-1, 0.75*AQ12)</f>
        <v>0.29970000000000002</v>
      </c>
      <c r="AR82" s="20">
        <f t="shared" si="11"/>
        <v>0.29970000000000002</v>
      </c>
      <c r="AS82" s="20">
        <f t="shared" si="11"/>
        <v>0.31389944827379351</v>
      </c>
      <c r="AT82" s="20">
        <f t="shared" si="11"/>
        <v>0.49229232974643128</v>
      </c>
      <c r="AU82" s="20">
        <f t="shared" si="11"/>
        <v>0.57196208613188737</v>
      </c>
      <c r="AV82" s="20">
        <f t="shared" si="11"/>
        <v>0.71969453689726559</v>
      </c>
      <c r="AW82" s="20">
        <f t="shared" si="11"/>
        <v>0.88164553810132884</v>
      </c>
      <c r="AX82" s="20">
        <f t="shared" si="11"/>
        <v>0.93895017602991926</v>
      </c>
      <c r="AY82" s="20">
        <f t="shared" si="11"/>
        <v>0.9682536553269192</v>
      </c>
      <c r="AZ82" s="20">
        <f t="shared" si="11"/>
        <v>0.998</v>
      </c>
      <c r="BA82" s="21">
        <f t="shared" si="11"/>
        <v>0.29970000000000002</v>
      </c>
      <c r="BB82" s="21">
        <f t="shared" si="11"/>
        <v>0.29970000000000002</v>
      </c>
      <c r="BC82" s="21">
        <f t="shared" si="11"/>
        <v>0.31389944827379351</v>
      </c>
      <c r="BD82" s="21">
        <f t="shared" si="11"/>
        <v>0.49229232974643128</v>
      </c>
      <c r="BE82" s="21">
        <f t="shared" si="11"/>
        <v>0.57196208613188737</v>
      </c>
      <c r="BF82" s="21">
        <f t="shared" si="11"/>
        <v>0.71969453689726559</v>
      </c>
      <c r="BG82" s="21">
        <f t="shared" si="11"/>
        <v>0.88164553810132884</v>
      </c>
      <c r="BH82" s="21">
        <f t="shared" si="11"/>
        <v>0.93895017602991926</v>
      </c>
      <c r="BI82" s="21">
        <f t="shared" si="11"/>
        <v>0.9682536553269192</v>
      </c>
      <c r="BJ82" s="22">
        <f t="shared" si="11"/>
        <v>0.998</v>
      </c>
      <c r="BL82" s="23">
        <f t="shared" si="10"/>
        <v>0</v>
      </c>
    </row>
    <row r="83" spans="33:64">
      <c r="AG83" s="24">
        <f t="shared" si="9"/>
        <v>0.998</v>
      </c>
      <c r="AH83" s="20">
        <f t="shared" si="11"/>
        <v>0.93895017602991926</v>
      </c>
      <c r="AI83" s="20">
        <f t="shared" si="11"/>
        <v>0.82603450817191382</v>
      </c>
      <c r="AJ83" s="20">
        <f t="shared" si="11"/>
        <v>0.61954732344843388</v>
      </c>
      <c r="AK83" s="20">
        <f t="shared" si="11"/>
        <v>0.53865360727387068</v>
      </c>
      <c r="AL83" s="20">
        <f t="shared" si="11"/>
        <v>0.4237199349456281</v>
      </c>
      <c r="AM83" s="20">
        <f t="shared" si="11"/>
        <v>0.29970000000000002</v>
      </c>
      <c r="AN83" s="20">
        <f t="shared" si="11"/>
        <v>0.29970000000000002</v>
      </c>
      <c r="AO83" s="20">
        <f t="shared" si="11"/>
        <v>0.29970000000000002</v>
      </c>
      <c r="AP83" s="20">
        <f t="shared" si="11"/>
        <v>0.29970000000000002</v>
      </c>
      <c r="AQ83" s="25">
        <f t="shared" si="11"/>
        <v>1</v>
      </c>
      <c r="AR83" s="25">
        <f t="shared" si="11"/>
        <v>0.94089106709701631</v>
      </c>
      <c r="AS83" s="25">
        <f t="shared" si="11"/>
        <v>0.82786237054245637</v>
      </c>
      <c r="AT83" s="25">
        <f t="shared" si="11"/>
        <v>0.62116849194037416</v>
      </c>
      <c r="AU83" s="25">
        <f t="shared" si="11"/>
        <v>0.53919280007394466</v>
      </c>
      <c r="AV83" s="25">
        <f t="shared" si="11"/>
        <v>0.42414407902465279</v>
      </c>
      <c r="AW83" s="25">
        <f t="shared" si="11"/>
        <v>0.30000000000000004</v>
      </c>
      <c r="AX83" s="25">
        <f t="shared" si="11"/>
        <v>0.30000000000000004</v>
      </c>
      <c r="AY83" s="25">
        <f t="shared" si="11"/>
        <v>0.30000000000000004</v>
      </c>
      <c r="AZ83" s="25">
        <f t="shared" si="11"/>
        <v>0.30000000000000004</v>
      </c>
      <c r="BA83" s="20">
        <f t="shared" si="11"/>
        <v>0.998</v>
      </c>
      <c r="BB83" s="20">
        <f t="shared" si="11"/>
        <v>0.93895017602991926</v>
      </c>
      <c r="BC83" s="20">
        <f t="shared" si="11"/>
        <v>0.82603450817191382</v>
      </c>
      <c r="BD83" s="20">
        <f t="shared" si="11"/>
        <v>0.61954732344843388</v>
      </c>
      <c r="BE83" s="20">
        <f t="shared" si="11"/>
        <v>0.53865360727387068</v>
      </c>
      <c r="BF83" s="20">
        <f t="shared" si="11"/>
        <v>0.4237199349456281</v>
      </c>
      <c r="BG83" s="20">
        <f t="shared" si="11"/>
        <v>0.29970000000000002</v>
      </c>
      <c r="BH83" s="20">
        <f t="shared" si="11"/>
        <v>0.29970000000000002</v>
      </c>
      <c r="BI83" s="20">
        <f t="shared" si="11"/>
        <v>0.29970000000000002</v>
      </c>
      <c r="BJ83" s="26">
        <f t="shared" si="11"/>
        <v>0.29970000000000002</v>
      </c>
      <c r="BL83" s="27">
        <f t="shared" si="10"/>
        <v>-907333.31136800675</v>
      </c>
    </row>
    <row r="84" spans="33:64">
      <c r="AG84" s="24">
        <f t="shared" si="9"/>
        <v>0.93895017602991926</v>
      </c>
      <c r="AH84" s="20">
        <f t="shared" si="11"/>
        <v>0.998</v>
      </c>
      <c r="AI84" s="20">
        <f t="shared" si="11"/>
        <v>0.93895017602991926</v>
      </c>
      <c r="AJ84" s="20">
        <f t="shared" si="11"/>
        <v>0.82603450817191382</v>
      </c>
      <c r="AK84" s="20">
        <f t="shared" si="11"/>
        <v>0.71969453689726559</v>
      </c>
      <c r="AL84" s="20">
        <f t="shared" si="11"/>
        <v>0.57196208613188726</v>
      </c>
      <c r="AM84" s="20">
        <f t="shared" si="11"/>
        <v>0.4237199349456281</v>
      </c>
      <c r="AN84" s="20">
        <f t="shared" si="11"/>
        <v>0.31389944827379351</v>
      </c>
      <c r="AO84" s="20">
        <f t="shared" si="11"/>
        <v>0.29970000000000002</v>
      </c>
      <c r="AP84" s="20">
        <f t="shared" si="11"/>
        <v>0.29970000000000002</v>
      </c>
      <c r="AQ84" s="25">
        <f t="shared" si="11"/>
        <v>0.94089106709701631</v>
      </c>
      <c r="AR84" s="25">
        <f t="shared" si="11"/>
        <v>1</v>
      </c>
      <c r="AS84" s="25">
        <f t="shared" si="11"/>
        <v>0.94089106709701631</v>
      </c>
      <c r="AT84" s="25">
        <f t="shared" si="11"/>
        <v>0.82786237054245637</v>
      </c>
      <c r="AU84" s="25">
        <f t="shared" si="11"/>
        <v>0.72141595285011562</v>
      </c>
      <c r="AV84" s="25">
        <f t="shared" si="11"/>
        <v>0.57253462075263983</v>
      </c>
      <c r="AW84" s="25">
        <f t="shared" si="11"/>
        <v>0.42414407902465279</v>
      </c>
      <c r="AX84" s="25">
        <f t="shared" si="11"/>
        <v>0.31421366193572925</v>
      </c>
      <c r="AY84" s="25">
        <f t="shared" si="11"/>
        <v>0.30000000000000004</v>
      </c>
      <c r="AZ84" s="25">
        <f t="shared" si="11"/>
        <v>0.30000000000000004</v>
      </c>
      <c r="BA84" s="20">
        <f t="shared" si="11"/>
        <v>0.93895017602991926</v>
      </c>
      <c r="BB84" s="20">
        <f t="shared" si="11"/>
        <v>0.998</v>
      </c>
      <c r="BC84" s="20">
        <f t="shared" si="11"/>
        <v>0.93895017602991926</v>
      </c>
      <c r="BD84" s="20">
        <f t="shared" si="11"/>
        <v>0.82603450817191382</v>
      </c>
      <c r="BE84" s="20">
        <f t="shared" si="11"/>
        <v>0.71969453689726559</v>
      </c>
      <c r="BF84" s="20">
        <f t="shared" si="11"/>
        <v>0.57196208613188726</v>
      </c>
      <c r="BG84" s="20">
        <f t="shared" si="11"/>
        <v>0.4237199349456281</v>
      </c>
      <c r="BH84" s="20">
        <f t="shared" si="11"/>
        <v>0.31389944827379351</v>
      </c>
      <c r="BI84" s="20">
        <f t="shared" si="11"/>
        <v>0.29970000000000002</v>
      </c>
      <c r="BJ84" s="26">
        <f t="shared" si="11"/>
        <v>0.29970000000000002</v>
      </c>
      <c r="BL84" s="27">
        <f t="shared" si="10"/>
        <v>3680.5344024181245</v>
      </c>
    </row>
    <row r="85" spans="33:64">
      <c r="AG85" s="24">
        <f t="shared" si="9"/>
        <v>0.82603450817191382</v>
      </c>
      <c r="AH85" s="20">
        <f t="shared" si="11"/>
        <v>0.93895017602991926</v>
      </c>
      <c r="AI85" s="20">
        <f t="shared" si="11"/>
        <v>0.998</v>
      </c>
      <c r="AJ85" s="20">
        <f t="shared" si="11"/>
        <v>0.93895017602991926</v>
      </c>
      <c r="AK85" s="20">
        <f t="shared" si="11"/>
        <v>0.88164553810132884</v>
      </c>
      <c r="AL85" s="20">
        <f t="shared" si="11"/>
        <v>0.77206703256088072</v>
      </c>
      <c r="AM85" s="20">
        <f t="shared" si="11"/>
        <v>0.57196208613188726</v>
      </c>
      <c r="AN85" s="20">
        <f t="shared" si="11"/>
        <v>0.49229232974643128</v>
      </c>
      <c r="AO85" s="20">
        <f t="shared" si="11"/>
        <v>0.4237199349456281</v>
      </c>
      <c r="AP85" s="20">
        <f t="shared" si="11"/>
        <v>0.31389944827379351</v>
      </c>
      <c r="AQ85" s="25">
        <f t="shared" si="11"/>
        <v>0.82786237054245637</v>
      </c>
      <c r="AR85" s="25">
        <f t="shared" si="11"/>
        <v>0.94089106709701631</v>
      </c>
      <c r="AS85" s="25">
        <f t="shared" si="11"/>
        <v>1</v>
      </c>
      <c r="AT85" s="25">
        <f t="shared" si="11"/>
        <v>0.94089106709701631</v>
      </c>
      <c r="AU85" s="25">
        <f t="shared" si="11"/>
        <v>0.88352906716849744</v>
      </c>
      <c r="AV85" s="25">
        <f t="shared" si="11"/>
        <v>0.77384087343431496</v>
      </c>
      <c r="AW85" s="25">
        <f t="shared" si="11"/>
        <v>0.57253462075263983</v>
      </c>
      <c r="AX85" s="25">
        <f t="shared" si="11"/>
        <v>0.49278511486129256</v>
      </c>
      <c r="AY85" s="25">
        <f t="shared" si="11"/>
        <v>0.42414407902465279</v>
      </c>
      <c r="AZ85" s="25">
        <f t="shared" si="11"/>
        <v>0.31421366193572925</v>
      </c>
      <c r="BA85" s="20">
        <f t="shared" si="11"/>
        <v>0.82603450817191382</v>
      </c>
      <c r="BB85" s="20">
        <f t="shared" si="11"/>
        <v>0.93895017602991926</v>
      </c>
      <c r="BC85" s="20">
        <f t="shared" si="11"/>
        <v>0.998</v>
      </c>
      <c r="BD85" s="20">
        <f t="shared" si="11"/>
        <v>0.93895017602991926</v>
      </c>
      <c r="BE85" s="20">
        <f t="shared" si="11"/>
        <v>0.88164553810132884</v>
      </c>
      <c r="BF85" s="20">
        <f t="shared" si="11"/>
        <v>0.77206703256088072</v>
      </c>
      <c r="BG85" s="20">
        <f t="shared" si="11"/>
        <v>0.57196208613188726</v>
      </c>
      <c r="BH85" s="20">
        <f t="shared" si="11"/>
        <v>0.49229232974643128</v>
      </c>
      <c r="BI85" s="20">
        <f t="shared" si="11"/>
        <v>0.4237199349456281</v>
      </c>
      <c r="BJ85" s="26">
        <f t="shared" si="11"/>
        <v>0.31389944827379351</v>
      </c>
      <c r="BL85" s="27">
        <f t="shared" si="10"/>
        <v>3479.5849816644973</v>
      </c>
    </row>
    <row r="86" spans="33:64">
      <c r="AG86" s="24">
        <f t="shared" si="9"/>
        <v>0.61954732344843388</v>
      </c>
      <c r="AH86" s="20">
        <f t="shared" si="11"/>
        <v>0.82603450817191382</v>
      </c>
      <c r="AI86" s="20">
        <f t="shared" si="11"/>
        <v>0.93895017602991926</v>
      </c>
      <c r="AJ86" s="20">
        <f t="shared" si="11"/>
        <v>0.998</v>
      </c>
      <c r="AK86" s="20">
        <f t="shared" si="11"/>
        <v>0.9682536553269192</v>
      </c>
      <c r="AL86" s="20">
        <f t="shared" si="11"/>
        <v>0.9100829687025338</v>
      </c>
      <c r="AM86" s="20">
        <f t="shared" si="11"/>
        <v>0.77206703256088072</v>
      </c>
      <c r="AN86" s="20">
        <f t="shared" si="11"/>
        <v>0.64402364679592483</v>
      </c>
      <c r="AO86" s="20">
        <f t="shared" si="11"/>
        <v>0.57196208613188726</v>
      </c>
      <c r="AP86" s="20">
        <f t="shared" si="11"/>
        <v>0.49229232974643128</v>
      </c>
      <c r="AQ86" s="25">
        <f t="shared" si="11"/>
        <v>0.62116849194037416</v>
      </c>
      <c r="AR86" s="25">
        <f t="shared" si="11"/>
        <v>0.82786237054245637</v>
      </c>
      <c r="AS86" s="25">
        <f t="shared" si="11"/>
        <v>0.94089106709701631</v>
      </c>
      <c r="AT86" s="25">
        <f t="shared" si="11"/>
        <v>1</v>
      </c>
      <c r="AU86" s="25">
        <f t="shared" si="11"/>
        <v>0.97022387920612529</v>
      </c>
      <c r="AV86" s="25">
        <f t="shared" si="11"/>
        <v>0.91199496366619992</v>
      </c>
      <c r="AW86" s="25">
        <f t="shared" si="11"/>
        <v>0.77384087343431496</v>
      </c>
      <c r="AX86" s="25">
        <f t="shared" si="11"/>
        <v>0.64566931611203682</v>
      </c>
      <c r="AY86" s="25">
        <f t="shared" si="11"/>
        <v>0.57253462075263983</v>
      </c>
      <c r="AZ86" s="25">
        <f t="shared" si="11"/>
        <v>0.49278511486129256</v>
      </c>
      <c r="BA86" s="20">
        <f t="shared" si="11"/>
        <v>0.61954732344843388</v>
      </c>
      <c r="BB86" s="20">
        <f t="shared" si="11"/>
        <v>0.82603450817191382</v>
      </c>
      <c r="BC86" s="20">
        <f t="shared" si="11"/>
        <v>0.93895017602991926</v>
      </c>
      <c r="BD86" s="20">
        <f t="shared" si="11"/>
        <v>0.998</v>
      </c>
      <c r="BE86" s="20">
        <f t="shared" si="11"/>
        <v>0.9682536553269192</v>
      </c>
      <c r="BF86" s="20">
        <f t="shared" si="11"/>
        <v>0.9100829687025338</v>
      </c>
      <c r="BG86" s="20">
        <f t="shared" si="11"/>
        <v>0.77206703256088072</v>
      </c>
      <c r="BH86" s="20">
        <f t="shared" si="11"/>
        <v>0.64402364679592483</v>
      </c>
      <c r="BI86" s="20">
        <f t="shared" si="11"/>
        <v>0.57196208613188726</v>
      </c>
      <c r="BJ86" s="26">
        <f t="shared" si="11"/>
        <v>0.49229232974643128</v>
      </c>
      <c r="BL86" s="27">
        <f t="shared" si="10"/>
        <v>2812.8264676446765</v>
      </c>
    </row>
    <row r="87" spans="33:64">
      <c r="AG87" s="24">
        <f t="shared" si="9"/>
        <v>0.53865360727387068</v>
      </c>
      <c r="AH87" s="20">
        <f t="shared" si="11"/>
        <v>0.71969453689726559</v>
      </c>
      <c r="AI87" s="20">
        <f t="shared" si="11"/>
        <v>0.88164553810132884</v>
      </c>
      <c r="AJ87" s="20">
        <f t="shared" si="11"/>
        <v>0.9682536553269192</v>
      </c>
      <c r="AK87" s="20">
        <f t="shared" si="11"/>
        <v>0.998</v>
      </c>
      <c r="AL87" s="20">
        <f t="shared" si="11"/>
        <v>0.95843694926689693</v>
      </c>
      <c r="AM87" s="20">
        <f t="shared" si="11"/>
        <v>0.86292285217208464</v>
      </c>
      <c r="AN87" s="20">
        <f t="shared" si="11"/>
        <v>0.77206703256088072</v>
      </c>
      <c r="AO87" s="20">
        <f t="shared" si="11"/>
        <v>0.68564230355957467</v>
      </c>
      <c r="AP87" s="20">
        <f t="shared" si="11"/>
        <v>0.57196208613188737</v>
      </c>
      <c r="AQ87" s="25">
        <f t="shared" si="11"/>
        <v>0.53919280007394466</v>
      </c>
      <c r="AR87" s="25">
        <f t="shared" si="11"/>
        <v>0.72141595285011562</v>
      </c>
      <c r="AS87" s="25">
        <f t="shared" si="11"/>
        <v>0.88352906716849744</v>
      </c>
      <c r="AT87" s="25">
        <f t="shared" si="11"/>
        <v>0.97022387920612529</v>
      </c>
      <c r="AU87" s="25">
        <f t="shared" si="11"/>
        <v>1</v>
      </c>
      <c r="AV87" s="25">
        <f t="shared" si="11"/>
        <v>0.96039734661351051</v>
      </c>
      <c r="AW87" s="25">
        <f t="shared" si="11"/>
        <v>0.86478763981189655</v>
      </c>
      <c r="AX87" s="25">
        <f t="shared" si="11"/>
        <v>0.77384087343431496</v>
      </c>
      <c r="AY87" s="25">
        <f t="shared" si="11"/>
        <v>0.68732963319276741</v>
      </c>
      <c r="AZ87" s="25">
        <f t="shared" si="11"/>
        <v>0.57253462075263994</v>
      </c>
      <c r="BA87" s="20">
        <f t="shared" si="11"/>
        <v>0.53865360727387068</v>
      </c>
      <c r="BB87" s="20">
        <f t="shared" si="11"/>
        <v>0.71969453689726559</v>
      </c>
      <c r="BC87" s="20">
        <f t="shared" si="11"/>
        <v>0.88164553810132884</v>
      </c>
      <c r="BD87" s="20">
        <f t="shared" si="11"/>
        <v>0.9682536553269192</v>
      </c>
      <c r="BE87" s="20">
        <f t="shared" si="11"/>
        <v>0.998</v>
      </c>
      <c r="BF87" s="20">
        <f t="shared" si="11"/>
        <v>0.95843694926689693</v>
      </c>
      <c r="BG87" s="20">
        <f t="shared" si="11"/>
        <v>0.86292285217208464</v>
      </c>
      <c r="BH87" s="20">
        <f t="shared" si="11"/>
        <v>0.77206703256088072</v>
      </c>
      <c r="BI87" s="20">
        <f t="shared" si="11"/>
        <v>0.68564230355957467</v>
      </c>
      <c r="BJ87" s="26">
        <f t="shared" si="11"/>
        <v>0.57196208613188737</v>
      </c>
      <c r="BL87" s="27">
        <f t="shared" si="10"/>
        <v>2553.5305943386243</v>
      </c>
    </row>
    <row r="88" spans="33:64">
      <c r="AG88" s="24">
        <f t="shared" si="9"/>
        <v>0.4237199349456281</v>
      </c>
      <c r="AH88" s="20">
        <f t="shared" si="11"/>
        <v>0.57196208613188726</v>
      </c>
      <c r="AI88" s="20">
        <f t="shared" si="11"/>
        <v>0.77206703256088072</v>
      </c>
      <c r="AJ88" s="20">
        <f t="shared" si="11"/>
        <v>0.9100829687025338</v>
      </c>
      <c r="AK88" s="20">
        <f t="shared" si="11"/>
        <v>0.95843694926689693</v>
      </c>
      <c r="AL88" s="20">
        <f t="shared" si="11"/>
        <v>0.998</v>
      </c>
      <c r="AM88" s="20">
        <f t="shared" si="11"/>
        <v>0.93895017602991926</v>
      </c>
      <c r="AN88" s="20">
        <f t="shared" si="11"/>
        <v>0.88164553810132884</v>
      </c>
      <c r="AO88" s="20">
        <f t="shared" si="11"/>
        <v>0.82603450817191382</v>
      </c>
      <c r="AP88" s="20">
        <f t="shared" si="11"/>
        <v>0.71969453689726559</v>
      </c>
      <c r="AQ88" s="25">
        <f t="shared" si="11"/>
        <v>0.42414407902465279</v>
      </c>
      <c r="AR88" s="25">
        <f t="shared" si="11"/>
        <v>0.57253462075263983</v>
      </c>
      <c r="AS88" s="25">
        <f t="shared" si="11"/>
        <v>0.77384087343431496</v>
      </c>
      <c r="AT88" s="25">
        <f t="shared" si="11"/>
        <v>0.91199496366619992</v>
      </c>
      <c r="AU88" s="25">
        <f t="shared" si="11"/>
        <v>0.96039734661351051</v>
      </c>
      <c r="AV88" s="25">
        <f t="shared" si="11"/>
        <v>1</v>
      </c>
      <c r="AW88" s="25">
        <f t="shared" si="11"/>
        <v>0.94089106709701631</v>
      </c>
      <c r="AX88" s="25">
        <f t="shared" si="11"/>
        <v>0.88352906716849744</v>
      </c>
      <c r="AY88" s="25">
        <f t="shared" si="11"/>
        <v>0.82786237054245637</v>
      </c>
      <c r="AZ88" s="25">
        <f t="shared" si="11"/>
        <v>0.72141595285011562</v>
      </c>
      <c r="BA88" s="20">
        <f t="shared" si="11"/>
        <v>0.4237199349456281</v>
      </c>
      <c r="BB88" s="20">
        <f t="shared" si="11"/>
        <v>0.57196208613188726</v>
      </c>
      <c r="BC88" s="20">
        <f t="shared" si="11"/>
        <v>0.77206703256088072</v>
      </c>
      <c r="BD88" s="20">
        <f t="shared" si="11"/>
        <v>0.9100829687025338</v>
      </c>
      <c r="BE88" s="20">
        <f t="shared" si="11"/>
        <v>0.95843694926689693</v>
      </c>
      <c r="BF88" s="20">
        <f t="shared" si="11"/>
        <v>0.998</v>
      </c>
      <c r="BG88" s="20">
        <f t="shared" si="11"/>
        <v>0.93895017602991926</v>
      </c>
      <c r="BH88" s="20">
        <f t="shared" si="11"/>
        <v>0.88164553810132884</v>
      </c>
      <c r="BI88" s="20">
        <f t="shared" si="11"/>
        <v>0.82603450817191382</v>
      </c>
      <c r="BJ88" s="26">
        <f t="shared" si="11"/>
        <v>0.71969453689726559</v>
      </c>
      <c r="BL88" s="27">
        <f t="shared" si="10"/>
        <v>2359.3269084355516</v>
      </c>
    </row>
    <row r="89" spans="33:64">
      <c r="AG89" s="24">
        <f t="shared" si="9"/>
        <v>0.29970000000000002</v>
      </c>
      <c r="AH89" s="20">
        <f t="shared" si="11"/>
        <v>0.4237199349456281</v>
      </c>
      <c r="AI89" s="20">
        <f t="shared" si="11"/>
        <v>0.57196208613188726</v>
      </c>
      <c r="AJ89" s="20">
        <f t="shared" si="11"/>
        <v>0.77206703256088072</v>
      </c>
      <c r="AK89" s="20">
        <f t="shared" si="11"/>
        <v>0.86292285217208464</v>
      </c>
      <c r="AL89" s="20">
        <f t="shared" si="11"/>
        <v>0.93895017602991926</v>
      </c>
      <c r="AM89" s="20">
        <f t="shared" si="11"/>
        <v>0.998</v>
      </c>
      <c r="AN89" s="20">
        <f t="shared" si="11"/>
        <v>0.9682536553269192</v>
      </c>
      <c r="AO89" s="20">
        <f t="shared" si="11"/>
        <v>0.93895017602991926</v>
      </c>
      <c r="AP89" s="20">
        <f t="shared" si="11"/>
        <v>0.88164553810132884</v>
      </c>
      <c r="AQ89" s="25">
        <f t="shared" si="11"/>
        <v>0.30000000000000004</v>
      </c>
      <c r="AR89" s="25">
        <f t="shared" si="11"/>
        <v>0.42414407902465279</v>
      </c>
      <c r="AS89" s="25">
        <f t="shared" si="11"/>
        <v>0.57253462075263983</v>
      </c>
      <c r="AT89" s="25">
        <f t="shared" si="11"/>
        <v>0.77384087343431496</v>
      </c>
      <c r="AU89" s="25">
        <f t="shared" si="11"/>
        <v>0.86478763981189655</v>
      </c>
      <c r="AV89" s="25">
        <f t="shared" si="11"/>
        <v>0.94089106709701631</v>
      </c>
      <c r="AW89" s="25">
        <f t="shared" si="11"/>
        <v>1</v>
      </c>
      <c r="AX89" s="25">
        <f t="shared" si="11"/>
        <v>0.97022387920612529</v>
      </c>
      <c r="AY89" s="25">
        <f t="shared" si="11"/>
        <v>0.94089106709701631</v>
      </c>
      <c r="AZ89" s="25">
        <f t="shared" si="11"/>
        <v>0.88352906716849744</v>
      </c>
      <c r="BA89" s="20">
        <f t="shared" si="11"/>
        <v>0.29970000000000002</v>
      </c>
      <c r="BB89" s="20">
        <f t="shared" si="11"/>
        <v>0.4237199349456281</v>
      </c>
      <c r="BC89" s="20">
        <f t="shared" si="11"/>
        <v>0.57196208613188726</v>
      </c>
      <c r="BD89" s="20">
        <f t="shared" si="11"/>
        <v>0.77206703256088072</v>
      </c>
      <c r="BE89" s="20">
        <f t="shared" si="11"/>
        <v>0.86292285217208464</v>
      </c>
      <c r="BF89" s="20">
        <f t="shared" si="11"/>
        <v>0.93895017602991926</v>
      </c>
      <c r="BG89" s="20">
        <f t="shared" si="11"/>
        <v>0.998</v>
      </c>
      <c r="BH89" s="20">
        <f t="shared" si="11"/>
        <v>0.9682536553269192</v>
      </c>
      <c r="BI89" s="20">
        <f t="shared" si="11"/>
        <v>0.93895017602991926</v>
      </c>
      <c r="BJ89" s="26">
        <f t="shared" si="11"/>
        <v>0.88164553810132884</v>
      </c>
      <c r="BL89" s="27">
        <f t="shared" si="10"/>
        <v>2376.8182092152824</v>
      </c>
    </row>
    <row r="90" spans="33:64">
      <c r="AG90" s="24">
        <f t="shared" si="9"/>
        <v>0.29970000000000002</v>
      </c>
      <c r="AH90" s="20">
        <f t="shared" si="11"/>
        <v>0.31389944827379351</v>
      </c>
      <c r="AI90" s="20">
        <f t="shared" si="11"/>
        <v>0.49229232974643128</v>
      </c>
      <c r="AJ90" s="20">
        <f t="shared" si="11"/>
        <v>0.64402364679592483</v>
      </c>
      <c r="AK90" s="20">
        <f t="shared" si="11"/>
        <v>0.77206703256088072</v>
      </c>
      <c r="AL90" s="20">
        <f t="shared" si="11"/>
        <v>0.88164553810132884</v>
      </c>
      <c r="AM90" s="20">
        <f t="shared" si="11"/>
        <v>0.9682536553269192</v>
      </c>
      <c r="AN90" s="20">
        <f t="shared" si="11"/>
        <v>0.998</v>
      </c>
      <c r="AO90" s="20">
        <f t="shared" si="11"/>
        <v>0.97811956783083787</v>
      </c>
      <c r="AP90" s="20">
        <f t="shared" si="11"/>
        <v>0.93895017602991926</v>
      </c>
      <c r="AQ90" s="25">
        <f t="shared" si="11"/>
        <v>0.30000000000000004</v>
      </c>
      <c r="AR90" s="25">
        <f t="shared" si="11"/>
        <v>0.31421366193572925</v>
      </c>
      <c r="AS90" s="25">
        <f t="shared" si="11"/>
        <v>0.49278511486129256</v>
      </c>
      <c r="AT90" s="25">
        <f t="shared" si="11"/>
        <v>0.64566931611203682</v>
      </c>
      <c r="AU90" s="25">
        <f t="shared" si="11"/>
        <v>0.77384087343431496</v>
      </c>
      <c r="AV90" s="25">
        <f t="shared" si="11"/>
        <v>0.88352906716849744</v>
      </c>
      <c r="AW90" s="25">
        <f t="shared" si="11"/>
        <v>0.97022387920612529</v>
      </c>
      <c r="AX90" s="25">
        <f t="shared" si="11"/>
        <v>1</v>
      </c>
      <c r="AY90" s="25">
        <f t="shared" si="11"/>
        <v>0.98009966749833621</v>
      </c>
      <c r="AZ90" s="25">
        <f t="shared" si="11"/>
        <v>0.94089106709701631</v>
      </c>
      <c r="BA90" s="20">
        <f t="shared" si="11"/>
        <v>0.29970000000000002</v>
      </c>
      <c r="BB90" s="20">
        <f t="shared" si="11"/>
        <v>0.31389944827379351</v>
      </c>
      <c r="BC90" s="20">
        <f t="shared" si="11"/>
        <v>0.49229232974643128</v>
      </c>
      <c r="BD90" s="20">
        <f t="shared" si="11"/>
        <v>0.64402364679592483</v>
      </c>
      <c r="BE90" s="20">
        <f t="shared" si="11"/>
        <v>0.77206703256088072</v>
      </c>
      <c r="BF90" s="20">
        <f t="shared" si="11"/>
        <v>0.88164553810132884</v>
      </c>
      <c r="BG90" s="20">
        <f t="shared" si="11"/>
        <v>0.9682536553269192</v>
      </c>
      <c r="BH90" s="20">
        <f t="shared" si="11"/>
        <v>0.998</v>
      </c>
      <c r="BI90" s="20">
        <f t="shared" si="11"/>
        <v>0.97811956783083787</v>
      </c>
      <c r="BJ90" s="26">
        <f t="shared" si="11"/>
        <v>0.93895017602991926</v>
      </c>
      <c r="BL90" s="27">
        <f t="shared" si="10"/>
        <v>2378.5557278543242</v>
      </c>
    </row>
    <row r="91" spans="33:64">
      <c r="AG91" s="24">
        <f t="shared" si="9"/>
        <v>0.29970000000000002</v>
      </c>
      <c r="AH91" s="20">
        <f t="shared" si="11"/>
        <v>0.29970000000000002</v>
      </c>
      <c r="AI91" s="20">
        <f t="shared" si="11"/>
        <v>0.4237199349456281</v>
      </c>
      <c r="AJ91" s="20">
        <f t="shared" si="11"/>
        <v>0.57196208613188726</v>
      </c>
      <c r="AK91" s="20">
        <f t="shared" ref="AH91:BJ99" si="12">MAX(2*AK21-1, 0.75*AK21)</f>
        <v>0.68564230355957467</v>
      </c>
      <c r="AL91" s="20">
        <f t="shared" si="12"/>
        <v>0.82603450817191382</v>
      </c>
      <c r="AM91" s="20">
        <f t="shared" si="12"/>
        <v>0.93895017602991926</v>
      </c>
      <c r="AN91" s="20">
        <f t="shared" si="12"/>
        <v>0.97811956783083787</v>
      </c>
      <c r="AO91" s="20">
        <f t="shared" si="12"/>
        <v>0.998</v>
      </c>
      <c r="AP91" s="20">
        <f t="shared" si="12"/>
        <v>0.9682536553269192</v>
      </c>
      <c r="AQ91" s="25">
        <f t="shared" si="12"/>
        <v>0.30000000000000004</v>
      </c>
      <c r="AR91" s="25">
        <f t="shared" si="12"/>
        <v>0.30000000000000004</v>
      </c>
      <c r="AS91" s="25">
        <f t="shared" si="12"/>
        <v>0.42414407902465279</v>
      </c>
      <c r="AT91" s="25">
        <f t="shared" si="12"/>
        <v>0.57253462075263983</v>
      </c>
      <c r="AU91" s="25">
        <f t="shared" si="12"/>
        <v>0.68732963319276741</v>
      </c>
      <c r="AV91" s="25">
        <f t="shared" si="12"/>
        <v>0.82786237054245637</v>
      </c>
      <c r="AW91" s="25">
        <f t="shared" si="12"/>
        <v>0.94089106709701631</v>
      </c>
      <c r="AX91" s="25">
        <f t="shared" si="12"/>
        <v>0.98009966749833621</v>
      </c>
      <c r="AY91" s="25">
        <f t="shared" si="12"/>
        <v>1</v>
      </c>
      <c r="AZ91" s="25">
        <f t="shared" si="12"/>
        <v>0.97022387920612529</v>
      </c>
      <c r="BA91" s="20">
        <f t="shared" si="12"/>
        <v>0.29970000000000002</v>
      </c>
      <c r="BB91" s="20">
        <f t="shared" si="12"/>
        <v>0.29970000000000002</v>
      </c>
      <c r="BC91" s="20">
        <f t="shared" si="12"/>
        <v>0.4237199349456281</v>
      </c>
      <c r="BD91" s="20">
        <f t="shared" si="12"/>
        <v>0.57196208613188726</v>
      </c>
      <c r="BE91" s="20">
        <f t="shared" si="12"/>
        <v>0.68564230355957467</v>
      </c>
      <c r="BF91" s="20">
        <f t="shared" si="12"/>
        <v>0.82603450817191382</v>
      </c>
      <c r="BG91" s="20">
        <f t="shared" si="12"/>
        <v>0.93895017602991926</v>
      </c>
      <c r="BH91" s="20">
        <f t="shared" si="12"/>
        <v>0.97811956783083787</v>
      </c>
      <c r="BI91" s="20">
        <f t="shared" si="12"/>
        <v>0.998</v>
      </c>
      <c r="BJ91" s="26">
        <f t="shared" si="12"/>
        <v>0.9682536553269192</v>
      </c>
      <c r="BL91" s="27">
        <f t="shared" si="10"/>
        <v>2378.5557278543242</v>
      </c>
    </row>
    <row r="92" spans="33:64">
      <c r="AG92" s="24">
        <f t="shared" si="9"/>
        <v>0.29970000000000002</v>
      </c>
      <c r="AH92" s="20">
        <f t="shared" si="12"/>
        <v>0.29970000000000002</v>
      </c>
      <c r="AI92" s="20">
        <f t="shared" si="12"/>
        <v>0.31389944827379351</v>
      </c>
      <c r="AJ92" s="20">
        <f t="shared" si="12"/>
        <v>0.49229232974643128</v>
      </c>
      <c r="AK92" s="20">
        <f t="shared" si="12"/>
        <v>0.57196208613188737</v>
      </c>
      <c r="AL92" s="20">
        <f t="shared" si="12"/>
        <v>0.71969453689726559</v>
      </c>
      <c r="AM92" s="20">
        <f t="shared" si="12"/>
        <v>0.88164553810132884</v>
      </c>
      <c r="AN92" s="20">
        <f t="shared" si="12"/>
        <v>0.93895017602991926</v>
      </c>
      <c r="AO92" s="20">
        <f t="shared" si="12"/>
        <v>0.9682536553269192</v>
      </c>
      <c r="AP92" s="20">
        <f t="shared" si="12"/>
        <v>0.998</v>
      </c>
      <c r="AQ92" s="25">
        <f t="shared" si="12"/>
        <v>0.30000000000000004</v>
      </c>
      <c r="AR92" s="25">
        <f t="shared" si="12"/>
        <v>0.30000000000000004</v>
      </c>
      <c r="AS92" s="25">
        <f t="shared" si="12"/>
        <v>0.31421366193572925</v>
      </c>
      <c r="AT92" s="25">
        <f t="shared" si="12"/>
        <v>0.49278511486129256</v>
      </c>
      <c r="AU92" s="25">
        <f t="shared" si="12"/>
        <v>0.57253462075263994</v>
      </c>
      <c r="AV92" s="25">
        <f t="shared" si="12"/>
        <v>0.72141595285011562</v>
      </c>
      <c r="AW92" s="25">
        <f t="shared" si="12"/>
        <v>0.88352906716849744</v>
      </c>
      <c r="AX92" s="25">
        <f t="shared" si="12"/>
        <v>0.94089106709701631</v>
      </c>
      <c r="AY92" s="25">
        <f t="shared" si="12"/>
        <v>0.97022387920612529</v>
      </c>
      <c r="AZ92" s="25">
        <f t="shared" si="12"/>
        <v>1</v>
      </c>
      <c r="BA92" s="20">
        <f t="shared" si="12"/>
        <v>0.29970000000000002</v>
      </c>
      <c r="BB92" s="20">
        <f t="shared" si="12"/>
        <v>0.29970000000000002</v>
      </c>
      <c r="BC92" s="20">
        <f t="shared" si="12"/>
        <v>0.31389944827379351</v>
      </c>
      <c r="BD92" s="20">
        <f t="shared" si="12"/>
        <v>0.49229232974643128</v>
      </c>
      <c r="BE92" s="20">
        <f t="shared" si="12"/>
        <v>0.57196208613188737</v>
      </c>
      <c r="BF92" s="20">
        <f t="shared" si="12"/>
        <v>0.71969453689726559</v>
      </c>
      <c r="BG92" s="20">
        <f t="shared" si="12"/>
        <v>0.88164553810132884</v>
      </c>
      <c r="BH92" s="20">
        <f t="shared" si="12"/>
        <v>0.93895017602991926</v>
      </c>
      <c r="BI92" s="20">
        <f t="shared" si="12"/>
        <v>0.9682536553269192</v>
      </c>
      <c r="BJ92" s="26">
        <f t="shared" si="12"/>
        <v>0.998</v>
      </c>
      <c r="BL92" s="27">
        <f t="shared" si="10"/>
        <v>2378.5557278543242</v>
      </c>
    </row>
    <row r="93" spans="33:64">
      <c r="AG93" s="28">
        <f t="shared" si="9"/>
        <v>0.998</v>
      </c>
      <c r="AH93" s="21">
        <f t="shared" si="12"/>
        <v>0.93895017602991926</v>
      </c>
      <c r="AI93" s="21">
        <f t="shared" si="12"/>
        <v>0.82603450817191382</v>
      </c>
      <c r="AJ93" s="21">
        <f t="shared" si="12"/>
        <v>0.61954732344843388</v>
      </c>
      <c r="AK93" s="21">
        <f t="shared" si="12"/>
        <v>0.53865360727387068</v>
      </c>
      <c r="AL93" s="21">
        <f t="shared" si="12"/>
        <v>0.4237199349456281</v>
      </c>
      <c r="AM93" s="21">
        <f t="shared" si="12"/>
        <v>0.29970000000000002</v>
      </c>
      <c r="AN93" s="21">
        <f t="shared" si="12"/>
        <v>0.29970000000000002</v>
      </c>
      <c r="AO93" s="21">
        <f t="shared" si="12"/>
        <v>0.29970000000000002</v>
      </c>
      <c r="AP93" s="21">
        <f t="shared" si="12"/>
        <v>0.29970000000000002</v>
      </c>
      <c r="AQ93" s="20">
        <f t="shared" si="12"/>
        <v>0.998</v>
      </c>
      <c r="AR93" s="20">
        <f t="shared" si="12"/>
        <v>0.93895017602991926</v>
      </c>
      <c r="AS93" s="20">
        <f t="shared" si="12"/>
        <v>0.82603450817191382</v>
      </c>
      <c r="AT93" s="20">
        <f t="shared" si="12"/>
        <v>0.61954732344843388</v>
      </c>
      <c r="AU93" s="20">
        <f t="shared" si="12"/>
        <v>0.53865360727387068</v>
      </c>
      <c r="AV93" s="20">
        <f t="shared" si="12"/>
        <v>0.4237199349456281</v>
      </c>
      <c r="AW93" s="20">
        <f t="shared" si="12"/>
        <v>0.29970000000000002</v>
      </c>
      <c r="AX93" s="20">
        <f t="shared" si="12"/>
        <v>0.29970000000000002</v>
      </c>
      <c r="AY93" s="20">
        <f t="shared" si="12"/>
        <v>0.29970000000000002</v>
      </c>
      <c r="AZ93" s="20">
        <f t="shared" si="12"/>
        <v>0.29970000000000002</v>
      </c>
      <c r="BA93" s="29">
        <f t="shared" si="12"/>
        <v>1</v>
      </c>
      <c r="BB93" s="29">
        <f t="shared" si="12"/>
        <v>0.94089106709701631</v>
      </c>
      <c r="BC93" s="29">
        <f t="shared" si="12"/>
        <v>0.82786237054245637</v>
      </c>
      <c r="BD93" s="29">
        <f t="shared" si="12"/>
        <v>0.62116849194037416</v>
      </c>
      <c r="BE93" s="29">
        <f t="shared" si="12"/>
        <v>0.53919280007394466</v>
      </c>
      <c r="BF93" s="29">
        <f t="shared" si="12"/>
        <v>0.42414407902465279</v>
      </c>
      <c r="BG93" s="29">
        <f t="shared" si="12"/>
        <v>0.30000000000000004</v>
      </c>
      <c r="BH93" s="29">
        <f t="shared" si="12"/>
        <v>0.30000000000000004</v>
      </c>
      <c r="BI93" s="29">
        <f t="shared" si="12"/>
        <v>0.30000000000000004</v>
      </c>
      <c r="BJ93" s="30">
        <f t="shared" si="12"/>
        <v>0.30000000000000004</v>
      </c>
      <c r="BL93" s="31">
        <f t="shared" si="10"/>
        <v>145465.51988418738</v>
      </c>
    </row>
    <row r="94" spans="33:64">
      <c r="AG94" s="28">
        <f t="shared" si="9"/>
        <v>0.93895017602991926</v>
      </c>
      <c r="AH94" s="21">
        <f t="shared" si="12"/>
        <v>0.998</v>
      </c>
      <c r="AI94" s="21">
        <f t="shared" si="12"/>
        <v>0.93895017602991926</v>
      </c>
      <c r="AJ94" s="21">
        <f t="shared" si="12"/>
        <v>0.82603450817191382</v>
      </c>
      <c r="AK94" s="21">
        <f t="shared" si="12"/>
        <v>0.71969453689726559</v>
      </c>
      <c r="AL94" s="21">
        <f t="shared" si="12"/>
        <v>0.57196208613188726</v>
      </c>
      <c r="AM94" s="21">
        <f t="shared" si="12"/>
        <v>0.4237199349456281</v>
      </c>
      <c r="AN94" s="21">
        <f t="shared" si="12"/>
        <v>0.31389944827379351</v>
      </c>
      <c r="AO94" s="21">
        <f t="shared" si="12"/>
        <v>0.29970000000000002</v>
      </c>
      <c r="AP94" s="21">
        <f t="shared" si="12"/>
        <v>0.29970000000000002</v>
      </c>
      <c r="AQ94" s="32">
        <f t="shared" si="12"/>
        <v>0.93895017602991926</v>
      </c>
      <c r="AR94" s="32">
        <f t="shared" si="12"/>
        <v>0.998</v>
      </c>
      <c r="AS94" s="32">
        <f t="shared" si="12"/>
        <v>0.93895017602991926</v>
      </c>
      <c r="AT94" s="32">
        <f t="shared" si="12"/>
        <v>0.82603450817191382</v>
      </c>
      <c r="AU94" s="32">
        <f t="shared" si="12"/>
        <v>0.71969453689726559</v>
      </c>
      <c r="AV94" s="32">
        <f t="shared" si="12"/>
        <v>0.57196208613188726</v>
      </c>
      <c r="AW94" s="32">
        <f t="shared" si="12"/>
        <v>0.4237199349456281</v>
      </c>
      <c r="AX94" s="32">
        <f t="shared" si="12"/>
        <v>0.31389944827379351</v>
      </c>
      <c r="AY94" s="32">
        <f t="shared" si="12"/>
        <v>0.29970000000000002</v>
      </c>
      <c r="AZ94" s="32">
        <f t="shared" si="12"/>
        <v>0.29970000000000002</v>
      </c>
      <c r="BA94" s="29">
        <f t="shared" si="12"/>
        <v>0.94089106709701631</v>
      </c>
      <c r="BB94" s="29">
        <f t="shared" si="12"/>
        <v>1</v>
      </c>
      <c r="BC94" s="29">
        <f t="shared" si="12"/>
        <v>0.94089106709701631</v>
      </c>
      <c r="BD94" s="29">
        <f t="shared" si="12"/>
        <v>0.82786237054245637</v>
      </c>
      <c r="BE94" s="29">
        <f t="shared" si="12"/>
        <v>0.72141595285011562</v>
      </c>
      <c r="BF94" s="29">
        <f t="shared" si="12"/>
        <v>0.57253462075263983</v>
      </c>
      <c r="BG94" s="29">
        <f t="shared" si="12"/>
        <v>0.42414407902465279</v>
      </c>
      <c r="BH94" s="29">
        <f t="shared" si="12"/>
        <v>0.31421366193572925</v>
      </c>
      <c r="BI94" s="29">
        <f t="shared" si="12"/>
        <v>0.30000000000000004</v>
      </c>
      <c r="BJ94" s="30">
        <f t="shared" si="12"/>
        <v>0.30000000000000004</v>
      </c>
      <c r="BL94" s="31">
        <f t="shared" si="10"/>
        <v>-331078.93059245823</v>
      </c>
    </row>
    <row r="95" spans="33:64">
      <c r="AG95" s="28">
        <f t="shared" si="9"/>
        <v>0.82603450817191382</v>
      </c>
      <c r="AH95" s="21">
        <f t="shared" si="12"/>
        <v>0.93895017602991926</v>
      </c>
      <c r="AI95" s="21">
        <f t="shared" si="12"/>
        <v>0.998</v>
      </c>
      <c r="AJ95" s="21">
        <f t="shared" si="12"/>
        <v>0.93895017602991926</v>
      </c>
      <c r="AK95" s="21">
        <f t="shared" si="12"/>
        <v>0.88164553810132884</v>
      </c>
      <c r="AL95" s="21">
        <f t="shared" si="12"/>
        <v>0.77206703256088072</v>
      </c>
      <c r="AM95" s="21">
        <f t="shared" si="12"/>
        <v>0.57196208613188726</v>
      </c>
      <c r="AN95" s="21">
        <f t="shared" si="12"/>
        <v>0.49229232974643128</v>
      </c>
      <c r="AO95" s="21">
        <f t="shared" si="12"/>
        <v>0.4237199349456281</v>
      </c>
      <c r="AP95" s="21">
        <f t="shared" si="12"/>
        <v>0.31389944827379351</v>
      </c>
      <c r="AQ95" s="20">
        <f t="shared" si="12"/>
        <v>0.82603450817191382</v>
      </c>
      <c r="AR95" s="20">
        <f t="shared" si="12"/>
        <v>0.93895017602991926</v>
      </c>
      <c r="AS95" s="20">
        <f t="shared" si="12"/>
        <v>0.998</v>
      </c>
      <c r="AT95" s="20">
        <f t="shared" si="12"/>
        <v>0.93895017602991926</v>
      </c>
      <c r="AU95" s="20">
        <f t="shared" si="12"/>
        <v>0.88164553810132884</v>
      </c>
      <c r="AV95" s="20">
        <f t="shared" si="12"/>
        <v>0.77206703256088072</v>
      </c>
      <c r="AW95" s="20">
        <f t="shared" si="12"/>
        <v>0.57196208613188726</v>
      </c>
      <c r="AX95" s="20">
        <f t="shared" si="12"/>
        <v>0.49229232974643128</v>
      </c>
      <c r="AY95" s="20">
        <f t="shared" si="12"/>
        <v>0.4237199349456281</v>
      </c>
      <c r="AZ95" s="20">
        <f t="shared" si="12"/>
        <v>0.31389944827379351</v>
      </c>
      <c r="BA95" s="29">
        <f t="shared" si="12"/>
        <v>0.82786237054245637</v>
      </c>
      <c r="BB95" s="29">
        <f t="shared" si="12"/>
        <v>0.94089106709701631</v>
      </c>
      <c r="BC95" s="29">
        <f t="shared" si="12"/>
        <v>1</v>
      </c>
      <c r="BD95" s="29">
        <f t="shared" si="12"/>
        <v>0.94089106709701631</v>
      </c>
      <c r="BE95" s="29">
        <f t="shared" si="12"/>
        <v>0.88352906716849744</v>
      </c>
      <c r="BF95" s="29">
        <f t="shared" si="12"/>
        <v>0.77384087343431496</v>
      </c>
      <c r="BG95" s="29">
        <f t="shared" si="12"/>
        <v>0.57253462075263983</v>
      </c>
      <c r="BH95" s="29">
        <f t="shared" si="12"/>
        <v>0.49278511486129256</v>
      </c>
      <c r="BI95" s="29">
        <f t="shared" si="12"/>
        <v>0.42414407902465279</v>
      </c>
      <c r="BJ95" s="30">
        <f t="shared" si="12"/>
        <v>0.31421366193572925</v>
      </c>
      <c r="BL95" s="31">
        <f t="shared" si="10"/>
        <v>448629.68422889704</v>
      </c>
    </row>
    <row r="96" spans="33:64">
      <c r="AG96" s="28">
        <f t="shared" si="9"/>
        <v>0.61954732344843388</v>
      </c>
      <c r="AH96" s="21">
        <f t="shared" si="12"/>
        <v>0.82603450817191382</v>
      </c>
      <c r="AI96" s="21">
        <f t="shared" si="12"/>
        <v>0.93895017602991926</v>
      </c>
      <c r="AJ96" s="21">
        <f t="shared" si="12"/>
        <v>0.998</v>
      </c>
      <c r="AK96" s="21">
        <f t="shared" si="12"/>
        <v>0.9682536553269192</v>
      </c>
      <c r="AL96" s="21">
        <f t="shared" si="12"/>
        <v>0.9100829687025338</v>
      </c>
      <c r="AM96" s="21">
        <f t="shared" si="12"/>
        <v>0.77206703256088072</v>
      </c>
      <c r="AN96" s="21">
        <f t="shared" si="12"/>
        <v>0.64402364679592483</v>
      </c>
      <c r="AO96" s="21">
        <f t="shared" si="12"/>
        <v>0.57196208613188726</v>
      </c>
      <c r="AP96" s="21">
        <f t="shared" si="12"/>
        <v>0.49229232974643128</v>
      </c>
      <c r="AQ96" s="20">
        <f t="shared" si="12"/>
        <v>0.61954732344843388</v>
      </c>
      <c r="AR96" s="20">
        <f t="shared" si="12"/>
        <v>0.82603450817191382</v>
      </c>
      <c r="AS96" s="20">
        <f t="shared" si="12"/>
        <v>0.93895017602991926</v>
      </c>
      <c r="AT96" s="20">
        <f t="shared" si="12"/>
        <v>0.998</v>
      </c>
      <c r="AU96" s="20">
        <f t="shared" si="12"/>
        <v>0.9682536553269192</v>
      </c>
      <c r="AV96" s="20">
        <f t="shared" si="12"/>
        <v>0.9100829687025338</v>
      </c>
      <c r="AW96" s="20">
        <f t="shared" si="12"/>
        <v>0.77206703256088072</v>
      </c>
      <c r="AX96" s="20">
        <f t="shared" si="12"/>
        <v>0.64402364679592483</v>
      </c>
      <c r="AY96" s="20">
        <f t="shared" si="12"/>
        <v>0.57196208613188726</v>
      </c>
      <c r="AZ96" s="20">
        <f t="shared" si="12"/>
        <v>0.49229232974643128</v>
      </c>
      <c r="BA96" s="29">
        <f t="shared" si="12"/>
        <v>0.62116849194037416</v>
      </c>
      <c r="BB96" s="29">
        <f t="shared" si="12"/>
        <v>0.82786237054245637</v>
      </c>
      <c r="BC96" s="29">
        <f t="shared" si="12"/>
        <v>0.94089106709701631</v>
      </c>
      <c r="BD96" s="29">
        <f t="shared" si="12"/>
        <v>1</v>
      </c>
      <c r="BE96" s="29">
        <f t="shared" si="12"/>
        <v>0.97022387920612529</v>
      </c>
      <c r="BF96" s="29">
        <f t="shared" si="12"/>
        <v>0.91199496366619992</v>
      </c>
      <c r="BG96" s="29">
        <f t="shared" si="12"/>
        <v>0.77384087343431496</v>
      </c>
      <c r="BH96" s="29">
        <f t="shared" si="12"/>
        <v>0.64566931611203682</v>
      </c>
      <c r="BI96" s="29">
        <f t="shared" si="12"/>
        <v>0.57253462075263983</v>
      </c>
      <c r="BJ96" s="30">
        <f t="shared" si="12"/>
        <v>0.49278511486129256</v>
      </c>
      <c r="BL96" s="31">
        <f t="shared" si="10"/>
        <v>0</v>
      </c>
    </row>
    <row r="97" spans="33:64">
      <c r="AG97" s="28">
        <f t="shared" si="9"/>
        <v>0.53865360727387068</v>
      </c>
      <c r="AH97" s="21">
        <f t="shared" si="12"/>
        <v>0.71969453689726559</v>
      </c>
      <c r="AI97" s="21">
        <f t="shared" si="12"/>
        <v>0.88164553810132884</v>
      </c>
      <c r="AJ97" s="21">
        <f t="shared" si="12"/>
        <v>0.9682536553269192</v>
      </c>
      <c r="AK97" s="21">
        <f t="shared" si="12"/>
        <v>0.998</v>
      </c>
      <c r="AL97" s="21">
        <f t="shared" si="12"/>
        <v>0.95843694926689693</v>
      </c>
      <c r="AM97" s="21">
        <f t="shared" si="12"/>
        <v>0.86292285217208464</v>
      </c>
      <c r="AN97" s="21">
        <f t="shared" si="12"/>
        <v>0.77206703256088072</v>
      </c>
      <c r="AO97" s="21">
        <f t="shared" si="12"/>
        <v>0.68564230355957467</v>
      </c>
      <c r="AP97" s="21">
        <f t="shared" si="12"/>
        <v>0.57196208613188737</v>
      </c>
      <c r="AQ97" s="20">
        <f t="shared" si="12"/>
        <v>0.53865360727387068</v>
      </c>
      <c r="AR97" s="20">
        <f t="shared" si="12"/>
        <v>0.71969453689726559</v>
      </c>
      <c r="AS97" s="20">
        <f t="shared" si="12"/>
        <v>0.88164553810132884</v>
      </c>
      <c r="AT97" s="20">
        <f t="shared" si="12"/>
        <v>0.9682536553269192</v>
      </c>
      <c r="AU97" s="20">
        <f t="shared" si="12"/>
        <v>0.998</v>
      </c>
      <c r="AV97" s="20">
        <f t="shared" si="12"/>
        <v>0.95843694926689693</v>
      </c>
      <c r="AW97" s="20">
        <f t="shared" si="12"/>
        <v>0.86292285217208464</v>
      </c>
      <c r="AX97" s="20">
        <f t="shared" si="12"/>
        <v>0.77206703256088072</v>
      </c>
      <c r="AY97" s="20">
        <f t="shared" si="12"/>
        <v>0.68564230355957467</v>
      </c>
      <c r="AZ97" s="20">
        <f t="shared" si="12"/>
        <v>0.57196208613188737</v>
      </c>
      <c r="BA97" s="29">
        <f t="shared" si="12"/>
        <v>0.53919280007394466</v>
      </c>
      <c r="BB97" s="29">
        <f t="shared" si="12"/>
        <v>0.72141595285011562</v>
      </c>
      <c r="BC97" s="29">
        <f t="shared" si="12"/>
        <v>0.88352906716849744</v>
      </c>
      <c r="BD97" s="29">
        <f t="shared" si="12"/>
        <v>0.97022387920612529</v>
      </c>
      <c r="BE97" s="29">
        <f t="shared" si="12"/>
        <v>1</v>
      </c>
      <c r="BF97" s="29">
        <f t="shared" si="12"/>
        <v>0.96039734661351051</v>
      </c>
      <c r="BG97" s="29">
        <f t="shared" si="12"/>
        <v>0.86478763981189655</v>
      </c>
      <c r="BH97" s="29">
        <f t="shared" si="12"/>
        <v>0.77384087343431496</v>
      </c>
      <c r="BI97" s="29">
        <f t="shared" si="12"/>
        <v>0.68732963319276741</v>
      </c>
      <c r="BJ97" s="30">
        <f t="shared" si="12"/>
        <v>0.57253462075263994</v>
      </c>
      <c r="BL97" s="31">
        <f t="shared" si="10"/>
        <v>0</v>
      </c>
    </row>
    <row r="98" spans="33:64">
      <c r="AG98" s="28">
        <f t="shared" si="9"/>
        <v>0.4237199349456281</v>
      </c>
      <c r="AH98" s="21">
        <f t="shared" si="12"/>
        <v>0.57196208613188726</v>
      </c>
      <c r="AI98" s="21">
        <f t="shared" si="12"/>
        <v>0.77206703256088072</v>
      </c>
      <c r="AJ98" s="21">
        <f t="shared" si="12"/>
        <v>0.9100829687025338</v>
      </c>
      <c r="AK98" s="21">
        <f t="shared" si="12"/>
        <v>0.95843694926689693</v>
      </c>
      <c r="AL98" s="21">
        <f t="shared" si="12"/>
        <v>0.998</v>
      </c>
      <c r="AM98" s="21">
        <f t="shared" si="12"/>
        <v>0.93895017602991926</v>
      </c>
      <c r="AN98" s="21">
        <f t="shared" si="12"/>
        <v>0.88164553810132884</v>
      </c>
      <c r="AO98" s="21">
        <f t="shared" si="12"/>
        <v>0.82603450817191382</v>
      </c>
      <c r="AP98" s="21">
        <f t="shared" si="12"/>
        <v>0.71969453689726559</v>
      </c>
      <c r="AQ98" s="20">
        <f t="shared" si="12"/>
        <v>0.4237199349456281</v>
      </c>
      <c r="AR98" s="20">
        <f t="shared" si="12"/>
        <v>0.57196208613188726</v>
      </c>
      <c r="AS98" s="20">
        <f t="shared" si="12"/>
        <v>0.77206703256088072</v>
      </c>
      <c r="AT98" s="20">
        <f t="shared" si="12"/>
        <v>0.9100829687025338</v>
      </c>
      <c r="AU98" s="20">
        <f t="shared" si="12"/>
        <v>0.95843694926689693</v>
      </c>
      <c r="AV98" s="20">
        <f t="shared" si="12"/>
        <v>0.998</v>
      </c>
      <c r="AW98" s="20">
        <f t="shared" si="12"/>
        <v>0.93895017602991926</v>
      </c>
      <c r="AX98" s="20">
        <f t="shared" si="12"/>
        <v>0.88164553810132884</v>
      </c>
      <c r="AY98" s="20">
        <f t="shared" si="12"/>
        <v>0.82603450817191382</v>
      </c>
      <c r="AZ98" s="20">
        <f t="shared" si="12"/>
        <v>0.71969453689726559</v>
      </c>
      <c r="BA98" s="29">
        <f t="shared" si="12"/>
        <v>0.42414407902465279</v>
      </c>
      <c r="BB98" s="29">
        <f t="shared" si="12"/>
        <v>0.57253462075263983</v>
      </c>
      <c r="BC98" s="29">
        <f t="shared" si="12"/>
        <v>0.77384087343431496</v>
      </c>
      <c r="BD98" s="29">
        <f t="shared" si="12"/>
        <v>0.91199496366619992</v>
      </c>
      <c r="BE98" s="29">
        <f t="shared" si="12"/>
        <v>0.96039734661351051</v>
      </c>
      <c r="BF98" s="29">
        <f t="shared" si="12"/>
        <v>1</v>
      </c>
      <c r="BG98" s="29">
        <f t="shared" si="12"/>
        <v>0.94089106709701631</v>
      </c>
      <c r="BH98" s="29">
        <f t="shared" si="12"/>
        <v>0.88352906716849744</v>
      </c>
      <c r="BI98" s="29">
        <f t="shared" si="12"/>
        <v>0.82786237054245637</v>
      </c>
      <c r="BJ98" s="30">
        <f t="shared" si="12"/>
        <v>0.72141595285011562</v>
      </c>
      <c r="BL98" s="31">
        <f t="shared" si="10"/>
        <v>0</v>
      </c>
    </row>
    <row r="99" spans="33:64">
      <c r="AG99" s="28">
        <f t="shared" si="9"/>
        <v>0.29970000000000002</v>
      </c>
      <c r="AH99" s="21">
        <f t="shared" si="12"/>
        <v>0.4237199349456281</v>
      </c>
      <c r="AI99" s="21">
        <f t="shared" si="12"/>
        <v>0.57196208613188726</v>
      </c>
      <c r="AJ99" s="21">
        <f t="shared" si="12"/>
        <v>0.77206703256088072</v>
      </c>
      <c r="AK99" s="21">
        <f t="shared" si="12"/>
        <v>0.86292285217208464</v>
      </c>
      <c r="AL99" s="21">
        <f t="shared" si="12"/>
        <v>0.93895017602991926</v>
      </c>
      <c r="AM99" s="21">
        <f t="shared" si="12"/>
        <v>0.998</v>
      </c>
      <c r="AN99" s="21">
        <f t="shared" si="12"/>
        <v>0.9682536553269192</v>
      </c>
      <c r="AO99" s="21">
        <f t="shared" si="12"/>
        <v>0.93895017602991926</v>
      </c>
      <c r="AP99" s="21">
        <f t="shared" si="12"/>
        <v>0.88164553810132884</v>
      </c>
      <c r="AQ99" s="20">
        <f t="shared" si="12"/>
        <v>0.29970000000000002</v>
      </c>
      <c r="AR99" s="20">
        <f t="shared" si="12"/>
        <v>0.4237199349456281</v>
      </c>
      <c r="AS99" s="20">
        <f t="shared" si="12"/>
        <v>0.57196208613188726</v>
      </c>
      <c r="AT99" s="20">
        <f t="shared" si="12"/>
        <v>0.77206703256088072</v>
      </c>
      <c r="AU99" s="20">
        <f t="shared" si="12"/>
        <v>0.86292285217208464</v>
      </c>
      <c r="AV99" s="20">
        <f t="shared" si="12"/>
        <v>0.93895017602991926</v>
      </c>
      <c r="AW99" s="20">
        <f t="shared" si="12"/>
        <v>0.998</v>
      </c>
      <c r="AX99" s="20">
        <f t="shared" si="12"/>
        <v>0.9682536553269192</v>
      </c>
      <c r="AY99" s="20">
        <f t="shared" si="12"/>
        <v>0.93895017602991926</v>
      </c>
      <c r="AZ99" s="20">
        <f t="shared" si="12"/>
        <v>0.88164553810132884</v>
      </c>
      <c r="BA99" s="29">
        <f t="shared" si="12"/>
        <v>0.30000000000000004</v>
      </c>
      <c r="BB99" s="29">
        <f t="shared" si="12"/>
        <v>0.42414407902465279</v>
      </c>
      <c r="BC99" s="29">
        <f t="shared" si="12"/>
        <v>0.57253462075263983</v>
      </c>
      <c r="BD99" s="29">
        <f t="shared" si="12"/>
        <v>0.77384087343431496</v>
      </c>
      <c r="BE99" s="29">
        <f t="shared" si="12"/>
        <v>0.86478763981189655</v>
      </c>
      <c r="BF99" s="29">
        <f t="shared" si="12"/>
        <v>0.94089106709701631</v>
      </c>
      <c r="BG99" s="29">
        <f t="shared" si="12"/>
        <v>1</v>
      </c>
      <c r="BH99" s="29">
        <f t="shared" ref="AH99:BJ102" si="13">MAX(2*BH29-1, 0.75*BH29)</f>
        <v>0.97022387920612529</v>
      </c>
      <c r="BI99" s="29">
        <f t="shared" si="13"/>
        <v>0.94089106709701631</v>
      </c>
      <c r="BJ99" s="30">
        <f t="shared" si="13"/>
        <v>0.88352906716849744</v>
      </c>
      <c r="BL99" s="31">
        <f t="shared" si="10"/>
        <v>0</v>
      </c>
    </row>
    <row r="100" spans="33:64">
      <c r="AG100" s="28">
        <f t="shared" si="9"/>
        <v>0.29970000000000002</v>
      </c>
      <c r="AH100" s="21">
        <f t="shared" si="13"/>
        <v>0.31389944827379351</v>
      </c>
      <c r="AI100" s="21">
        <f t="shared" si="13"/>
        <v>0.49229232974643128</v>
      </c>
      <c r="AJ100" s="21">
        <f t="shared" si="13"/>
        <v>0.64402364679592483</v>
      </c>
      <c r="AK100" s="21">
        <f t="shared" si="13"/>
        <v>0.77206703256088072</v>
      </c>
      <c r="AL100" s="21">
        <f t="shared" si="13"/>
        <v>0.88164553810132884</v>
      </c>
      <c r="AM100" s="21">
        <f t="shared" si="13"/>
        <v>0.9682536553269192</v>
      </c>
      <c r="AN100" s="21">
        <f t="shared" si="13"/>
        <v>0.998</v>
      </c>
      <c r="AO100" s="21">
        <f t="shared" si="13"/>
        <v>0.97811956783083787</v>
      </c>
      <c r="AP100" s="21">
        <f t="shared" si="13"/>
        <v>0.93895017602991926</v>
      </c>
      <c r="AQ100" s="20">
        <f t="shared" si="13"/>
        <v>0.29970000000000002</v>
      </c>
      <c r="AR100" s="20">
        <f t="shared" si="13"/>
        <v>0.31389944827379351</v>
      </c>
      <c r="AS100" s="20">
        <f t="shared" si="13"/>
        <v>0.49229232974643128</v>
      </c>
      <c r="AT100" s="20">
        <f t="shared" si="13"/>
        <v>0.64402364679592483</v>
      </c>
      <c r="AU100" s="20">
        <f t="shared" si="13"/>
        <v>0.77206703256088072</v>
      </c>
      <c r="AV100" s="20">
        <f t="shared" si="13"/>
        <v>0.88164553810132884</v>
      </c>
      <c r="AW100" s="20">
        <f t="shared" si="13"/>
        <v>0.9682536553269192</v>
      </c>
      <c r="AX100" s="20">
        <f t="shared" si="13"/>
        <v>0.998</v>
      </c>
      <c r="AY100" s="20">
        <f t="shared" si="13"/>
        <v>0.97811956783083787</v>
      </c>
      <c r="AZ100" s="20">
        <f t="shared" si="13"/>
        <v>0.93895017602991926</v>
      </c>
      <c r="BA100" s="29">
        <f t="shared" si="13"/>
        <v>0.30000000000000004</v>
      </c>
      <c r="BB100" s="29">
        <f t="shared" si="13"/>
        <v>0.31421366193572925</v>
      </c>
      <c r="BC100" s="29">
        <f t="shared" si="13"/>
        <v>0.49278511486129256</v>
      </c>
      <c r="BD100" s="29">
        <f t="shared" si="13"/>
        <v>0.64566931611203682</v>
      </c>
      <c r="BE100" s="29">
        <f t="shared" si="13"/>
        <v>0.77384087343431496</v>
      </c>
      <c r="BF100" s="29">
        <f t="shared" si="13"/>
        <v>0.88352906716849744</v>
      </c>
      <c r="BG100" s="29">
        <f t="shared" si="13"/>
        <v>0.97022387920612529</v>
      </c>
      <c r="BH100" s="29">
        <f t="shared" si="13"/>
        <v>1</v>
      </c>
      <c r="BI100" s="29">
        <f t="shared" si="13"/>
        <v>0.98009966749833621</v>
      </c>
      <c r="BJ100" s="30">
        <f t="shared" si="13"/>
        <v>0.94089106709701631</v>
      </c>
      <c r="BL100" s="31">
        <f t="shared" si="10"/>
        <v>0</v>
      </c>
    </row>
    <row r="101" spans="33:64">
      <c r="AG101" s="28">
        <f t="shared" si="9"/>
        <v>0.29970000000000002</v>
      </c>
      <c r="AH101" s="21">
        <f t="shared" si="13"/>
        <v>0.29970000000000002</v>
      </c>
      <c r="AI101" s="21">
        <f t="shared" si="13"/>
        <v>0.4237199349456281</v>
      </c>
      <c r="AJ101" s="21">
        <f t="shared" si="13"/>
        <v>0.57196208613188726</v>
      </c>
      <c r="AK101" s="21">
        <f t="shared" si="13"/>
        <v>0.68564230355957467</v>
      </c>
      <c r="AL101" s="21">
        <f t="shared" si="13"/>
        <v>0.82603450817191382</v>
      </c>
      <c r="AM101" s="21">
        <f t="shared" si="13"/>
        <v>0.93895017602991926</v>
      </c>
      <c r="AN101" s="21">
        <f t="shared" si="13"/>
        <v>0.97811956783083787</v>
      </c>
      <c r="AO101" s="21">
        <f t="shared" si="13"/>
        <v>0.998</v>
      </c>
      <c r="AP101" s="21">
        <f t="shared" si="13"/>
        <v>0.9682536553269192</v>
      </c>
      <c r="AQ101" s="20">
        <f t="shared" si="13"/>
        <v>0.29970000000000002</v>
      </c>
      <c r="AR101" s="20">
        <f t="shared" si="13"/>
        <v>0.29970000000000002</v>
      </c>
      <c r="AS101" s="20">
        <f t="shared" si="13"/>
        <v>0.4237199349456281</v>
      </c>
      <c r="AT101" s="20">
        <f t="shared" si="13"/>
        <v>0.57196208613188726</v>
      </c>
      <c r="AU101" s="20">
        <f t="shared" si="13"/>
        <v>0.68564230355957467</v>
      </c>
      <c r="AV101" s="20">
        <f t="shared" si="13"/>
        <v>0.82603450817191382</v>
      </c>
      <c r="AW101" s="20">
        <f t="shared" si="13"/>
        <v>0.93895017602991926</v>
      </c>
      <c r="AX101" s="20">
        <f t="shared" si="13"/>
        <v>0.97811956783083787</v>
      </c>
      <c r="AY101" s="20">
        <f t="shared" si="13"/>
        <v>0.998</v>
      </c>
      <c r="AZ101" s="20">
        <f t="shared" si="13"/>
        <v>0.9682536553269192</v>
      </c>
      <c r="BA101" s="29">
        <f t="shared" si="13"/>
        <v>0.30000000000000004</v>
      </c>
      <c r="BB101" s="29">
        <f t="shared" si="13"/>
        <v>0.30000000000000004</v>
      </c>
      <c r="BC101" s="29">
        <f t="shared" si="13"/>
        <v>0.42414407902465279</v>
      </c>
      <c r="BD101" s="29">
        <f t="shared" si="13"/>
        <v>0.57253462075263983</v>
      </c>
      <c r="BE101" s="29">
        <f t="shared" si="13"/>
        <v>0.68732963319276741</v>
      </c>
      <c r="BF101" s="29">
        <f t="shared" si="13"/>
        <v>0.82786237054245637</v>
      </c>
      <c r="BG101" s="29">
        <f t="shared" si="13"/>
        <v>0.94089106709701631</v>
      </c>
      <c r="BH101" s="29">
        <f t="shared" si="13"/>
        <v>0.98009966749833621</v>
      </c>
      <c r="BI101" s="29">
        <f t="shared" si="13"/>
        <v>1</v>
      </c>
      <c r="BJ101" s="30">
        <f t="shared" si="13"/>
        <v>0.97022387920612529</v>
      </c>
      <c r="BL101" s="31">
        <f t="shared" si="10"/>
        <v>0</v>
      </c>
    </row>
    <row r="102" spans="33:64" ht="16" thickBot="1">
      <c r="AG102" s="33">
        <f t="shared" si="9"/>
        <v>0.29970000000000002</v>
      </c>
      <c r="AH102" s="34">
        <f t="shared" si="13"/>
        <v>0.29970000000000002</v>
      </c>
      <c r="AI102" s="34">
        <f t="shared" si="13"/>
        <v>0.31389944827379351</v>
      </c>
      <c r="AJ102" s="34">
        <f t="shared" si="13"/>
        <v>0.49229232974643128</v>
      </c>
      <c r="AK102" s="34">
        <f t="shared" si="13"/>
        <v>0.57196208613188737</v>
      </c>
      <c r="AL102" s="34">
        <f t="shared" si="13"/>
        <v>0.71969453689726559</v>
      </c>
      <c r="AM102" s="34">
        <f t="shared" si="13"/>
        <v>0.88164553810132884</v>
      </c>
      <c r="AN102" s="34">
        <f t="shared" si="13"/>
        <v>0.93895017602991926</v>
      </c>
      <c r="AO102" s="34">
        <f t="shared" si="13"/>
        <v>0.9682536553269192</v>
      </c>
      <c r="AP102" s="34">
        <f t="shared" si="13"/>
        <v>0.998</v>
      </c>
      <c r="AQ102" s="35">
        <f t="shared" si="13"/>
        <v>0.29970000000000002</v>
      </c>
      <c r="AR102" s="35">
        <f t="shared" si="13"/>
        <v>0.29970000000000002</v>
      </c>
      <c r="AS102" s="35">
        <f t="shared" si="13"/>
        <v>0.31389944827379351</v>
      </c>
      <c r="AT102" s="35">
        <f t="shared" si="13"/>
        <v>0.49229232974643128</v>
      </c>
      <c r="AU102" s="35">
        <f t="shared" si="13"/>
        <v>0.57196208613188737</v>
      </c>
      <c r="AV102" s="35">
        <f t="shared" si="13"/>
        <v>0.71969453689726559</v>
      </c>
      <c r="AW102" s="35">
        <f t="shared" si="13"/>
        <v>0.88164553810132884</v>
      </c>
      <c r="AX102" s="35">
        <f t="shared" si="13"/>
        <v>0.93895017602991926</v>
      </c>
      <c r="AY102" s="35">
        <f t="shared" si="13"/>
        <v>0.9682536553269192</v>
      </c>
      <c r="AZ102" s="35">
        <f t="shared" si="13"/>
        <v>0.998</v>
      </c>
      <c r="BA102" s="36">
        <f t="shared" si="13"/>
        <v>0.30000000000000004</v>
      </c>
      <c r="BB102" s="36">
        <f t="shared" si="13"/>
        <v>0.30000000000000004</v>
      </c>
      <c r="BC102" s="36">
        <f t="shared" si="13"/>
        <v>0.31421366193572925</v>
      </c>
      <c r="BD102" s="36">
        <f t="shared" si="13"/>
        <v>0.49278511486129256</v>
      </c>
      <c r="BE102" s="36">
        <f t="shared" si="13"/>
        <v>0.57253462075263994</v>
      </c>
      <c r="BF102" s="36">
        <f t="shared" si="13"/>
        <v>0.72141595285011562</v>
      </c>
      <c r="BG102" s="36">
        <f t="shared" si="13"/>
        <v>0.88352906716849744</v>
      </c>
      <c r="BH102" s="36">
        <f t="shared" si="13"/>
        <v>0.94089106709701631</v>
      </c>
      <c r="BI102" s="36">
        <f t="shared" si="13"/>
        <v>0.97022387920612529</v>
      </c>
      <c r="BJ102" s="37">
        <f t="shared" si="13"/>
        <v>1</v>
      </c>
      <c r="BL102" s="38">
        <f t="shared" si="10"/>
        <v>0</v>
      </c>
    </row>
    <row r="103" spans="33:64" ht="16" thickBot="1"/>
    <row r="104" spans="33:64" ht="16" thickBot="1">
      <c r="AG104" s="39">
        <f t="array" ref="AG104:BJ104">MMULT(B73:AE73,AG73:BJ102)</f>
        <v>-80734414.597096831</v>
      </c>
      <c r="AH104" s="40">
        <v>-75472081.752087802</v>
      </c>
      <c r="AI104" s="40">
        <v>-67857124.501433983</v>
      </c>
      <c r="AJ104" s="40">
        <v>-53364015.887318894</v>
      </c>
      <c r="AK104" s="40">
        <v>-47824387.016788401</v>
      </c>
      <c r="AL104" s="40">
        <v>-39627105.265477367</v>
      </c>
      <c r="AM104" s="40">
        <v>-30572354.368696906</v>
      </c>
      <c r="AN104" s="40">
        <v>-30411323.616743784</v>
      </c>
      <c r="AO104" s="40">
        <v>-30269523.147266634</v>
      </c>
      <c r="AP104" s="40">
        <v>-29897389.733122528</v>
      </c>
      <c r="AQ104" s="40">
        <v>-79400475.497259378</v>
      </c>
      <c r="AR104" s="40">
        <v>-75613042.478003666</v>
      </c>
      <c r="AS104" s="40">
        <v>-67988695.022639841</v>
      </c>
      <c r="AT104" s="40">
        <v>-53473581.233874582</v>
      </c>
      <c r="AU104" s="40">
        <v>-47850828.116254576</v>
      </c>
      <c r="AV104" s="40">
        <v>-39644343.922847986</v>
      </c>
      <c r="AW104" s="40">
        <v>-30579906.117027536</v>
      </c>
      <c r="AX104" s="40">
        <v>-30419009.014248725</v>
      </c>
      <c r="AY104" s="40">
        <v>-30277828.039348755</v>
      </c>
      <c r="AZ104" s="40">
        <v>-29906018.297900535</v>
      </c>
      <c r="BA104" s="40">
        <v>-79248401.74262996</v>
      </c>
      <c r="BB104" s="40">
        <v>-75465333.689058229</v>
      </c>
      <c r="BC104" s="40">
        <v>-67849391.800329432</v>
      </c>
      <c r="BD104" s="40">
        <v>-53349908.420883521</v>
      </c>
      <c r="BE104" s="40">
        <v>-47809256.809528105</v>
      </c>
      <c r="BF104" s="40">
        <v>-39611170.752647996</v>
      </c>
      <c r="BG104" s="40">
        <v>-30556655.285667889</v>
      </c>
      <c r="BH104" s="40">
        <v>-30395770.954207283</v>
      </c>
      <c r="BI104" s="40">
        <v>-30254644.612694748</v>
      </c>
      <c r="BJ104" s="41">
        <v>-29882962.798251946</v>
      </c>
      <c r="BL104" s="42">
        <f t="array" ref="BL104">MMULT(AG104:BJ104,BL73:BL102)</f>
        <v>292709951759035.87</v>
      </c>
    </row>
    <row r="105" spans="33:64" ht="16" thickBot="1"/>
    <row r="106" spans="33:64" ht="16" thickBot="1">
      <c r="BL106" s="43">
        <f>SQRT(BL104)</f>
        <v>17108768.271241382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N47"/>
  <sheetViews>
    <sheetView workbookViewId="0">
      <selection activeCell="D5" sqref="D5"/>
    </sheetView>
  </sheetViews>
  <sheetFormatPr defaultRowHeight="17"/>
  <cols>
    <col min="2" max="2" width="16.1796875" customWidth="1"/>
    <col min="3" max="3" width="17" customWidth="1"/>
    <col min="4" max="4" width="17.1796875" customWidth="1"/>
    <col min="6" max="6" width="17.1796875" customWidth="1"/>
    <col min="7" max="7" width="15.6328125" customWidth="1"/>
    <col min="8" max="8" width="13.90625" customWidth="1"/>
    <col min="9" max="9" width="15.6328125" customWidth="1"/>
    <col min="10" max="10" width="20.81640625" customWidth="1"/>
    <col min="11" max="11" width="17.453125" customWidth="1"/>
    <col min="13" max="13" width="16" customWidth="1"/>
    <col min="14" max="14" width="18.08984375" customWidth="1"/>
  </cols>
  <sheetData>
    <row r="1" spans="1:14" ht="17.5" thickBot="1"/>
    <row r="2" spans="1:14" ht="17.5" thickBot="1">
      <c r="B2" s="126" t="s">
        <v>25</v>
      </c>
      <c r="C2" s="151">
        <v>1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</row>
    <row r="3" spans="1:14" ht="17.5" thickBot="1">
      <c r="B3" s="55"/>
      <c r="C3" s="154" t="s">
        <v>26</v>
      </c>
      <c r="D3" s="155" t="s">
        <v>24</v>
      </c>
      <c r="E3" s="55"/>
      <c r="F3" s="109">
        <f>C4</f>
        <v>18292168.336977016</v>
      </c>
      <c r="G3" s="110">
        <f>C5</f>
        <v>3658433.6673954036</v>
      </c>
      <c r="H3" s="122">
        <v>1</v>
      </c>
      <c r="I3" s="123">
        <v>0</v>
      </c>
      <c r="J3" s="111">
        <f>F3</f>
        <v>18292168.336977016</v>
      </c>
      <c r="K3" s="55"/>
      <c r="L3" s="55"/>
      <c r="M3" s="55"/>
      <c r="N3" s="128" t="s">
        <v>27</v>
      </c>
    </row>
    <row r="4" spans="1:14" ht="17.5" thickBot="1">
      <c r="B4" s="156" t="s">
        <v>38</v>
      </c>
      <c r="C4" s="107">
        <f>DeltaCap!BO28</f>
        <v>18292168.336977016</v>
      </c>
      <c r="D4" s="120">
        <f>Correlation!P8</f>
        <v>-84671609.817237541</v>
      </c>
      <c r="E4" s="55"/>
      <c r="F4" s="55"/>
      <c r="G4" s="55"/>
      <c r="H4" s="124">
        <v>0</v>
      </c>
      <c r="I4" s="125">
        <v>1</v>
      </c>
      <c r="J4" s="112">
        <f>G3</f>
        <v>3658433.6673954036</v>
      </c>
      <c r="K4" s="55"/>
      <c r="L4" s="55"/>
      <c r="M4" s="122" t="s">
        <v>25</v>
      </c>
      <c r="N4" s="166">
        <f>K15</f>
        <v>32633046.291624203</v>
      </c>
    </row>
    <row r="5" spans="1:14" ht="17.5" thickBot="1">
      <c r="B5" s="157" t="s">
        <v>39</v>
      </c>
      <c r="C5" s="108">
        <f>C4*0.2</f>
        <v>3658433.6673954036</v>
      </c>
      <c r="D5" s="121">
        <f>D4*0.2</f>
        <v>-16934321.963447507</v>
      </c>
      <c r="E5" s="55"/>
      <c r="F5" s="55"/>
      <c r="G5" s="55"/>
      <c r="H5" s="113">
        <f t="array" ref="H5:I5">MMULT(F3:G3,H3:I4)</f>
        <v>18292168.336977016</v>
      </c>
      <c r="I5" s="114">
        <v>3658433.6673954036</v>
      </c>
      <c r="J5" s="61">
        <f t="array" ref="J5">MMULT(H5:I5,J3:J4)</f>
        <v>347987559367036.69</v>
      </c>
      <c r="K5" s="55"/>
      <c r="L5" s="55"/>
      <c r="M5" s="129" t="s">
        <v>28</v>
      </c>
      <c r="N5" s="131">
        <f>K31</f>
        <v>35884773.33821395</v>
      </c>
    </row>
    <row r="6" spans="1:14" ht="17.5" thickBot="1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124" t="s">
        <v>29</v>
      </c>
      <c r="N6" s="167">
        <f>K47</f>
        <v>29019208.517938357</v>
      </c>
    </row>
    <row r="7" spans="1:14" ht="17.5" thickBot="1">
      <c r="B7" s="153" t="s">
        <v>65</v>
      </c>
      <c r="C7" s="149">
        <v>0.5</v>
      </c>
      <c r="D7" s="55"/>
      <c r="E7" s="55"/>
      <c r="F7" s="55"/>
      <c r="G7" s="55"/>
      <c r="H7" s="55"/>
      <c r="I7" s="55"/>
      <c r="J7" s="55"/>
      <c r="K7" s="55"/>
      <c r="L7" s="55"/>
      <c r="M7" s="124" t="s">
        <v>30</v>
      </c>
      <c r="N7" s="130">
        <f>MAX(N4,N5,N6)</f>
        <v>35884773.33821395</v>
      </c>
    </row>
    <row r="8" spans="1:14" ht="17.5" thickBot="1">
      <c r="B8" s="55"/>
      <c r="C8" s="55"/>
      <c r="D8" s="55"/>
      <c r="E8" s="55"/>
      <c r="F8" s="115">
        <f>D4</f>
        <v>-84671609.817237541</v>
      </c>
      <c r="G8" s="116">
        <f>D5</f>
        <v>-16934321.963447507</v>
      </c>
      <c r="H8" s="122">
        <v>0</v>
      </c>
      <c r="I8" s="123">
        <f>H9</f>
        <v>0.25</v>
      </c>
      <c r="J8" s="117">
        <f>F8</f>
        <v>-84671609.817237541</v>
      </c>
      <c r="K8" s="55"/>
      <c r="L8" s="55"/>
      <c r="M8" s="55"/>
      <c r="N8" s="55"/>
    </row>
    <row r="9" spans="1:14" ht="17.5" thickBot="1">
      <c r="A9" s="147"/>
      <c r="B9" s="75"/>
      <c r="C9" s="75"/>
      <c r="D9" s="75"/>
      <c r="E9" s="55"/>
      <c r="F9" s="55"/>
      <c r="G9" s="55"/>
      <c r="H9" s="124">
        <f>C7^2</f>
        <v>0.25</v>
      </c>
      <c r="I9" s="125">
        <v>0</v>
      </c>
      <c r="J9" s="118">
        <f>G8</f>
        <v>-16934321.963447507</v>
      </c>
      <c r="K9" s="55"/>
      <c r="L9" s="55"/>
      <c r="M9" s="55"/>
      <c r="N9" s="55"/>
    </row>
    <row r="10" spans="1:14" ht="17.5" thickBot="1">
      <c r="B10" s="55"/>
      <c r="C10" s="55"/>
      <c r="D10" s="55"/>
      <c r="E10" s="55"/>
      <c r="F10" s="55"/>
      <c r="G10" s="55"/>
      <c r="H10" s="119">
        <f t="array" ref="H10:I10">MMULT(F8:G8,H8:I9)</f>
        <v>-4233580.4908618769</v>
      </c>
      <c r="I10" s="81">
        <v>-21167902.454309385</v>
      </c>
      <c r="J10" s="106">
        <f t="array" ref="J10">MMULT(H10:I10,J8:J9)</f>
        <v>716928150904251.62</v>
      </c>
      <c r="K10" s="55"/>
      <c r="L10" s="55"/>
      <c r="M10" s="55"/>
      <c r="N10" s="55"/>
    </row>
    <row r="11" spans="1:14" ht="17.5" thickBot="1"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</row>
    <row r="12" spans="1:14" ht="17.5" thickBot="1">
      <c r="B12" s="55"/>
      <c r="C12" s="55"/>
      <c r="D12" s="55"/>
      <c r="E12" s="55"/>
      <c r="F12" s="55"/>
      <c r="G12" s="55"/>
      <c r="H12" s="126" t="s">
        <v>31</v>
      </c>
      <c r="I12" s="127"/>
      <c r="J12" s="105" t="str">
        <f>IF((J5+J10)&gt;0,"OK","Change")</f>
        <v>OK</v>
      </c>
      <c r="K12" s="55"/>
      <c r="L12" s="55"/>
      <c r="M12" s="55"/>
      <c r="N12" s="55"/>
    </row>
    <row r="13" spans="1:14" ht="17.5" thickBot="1"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</row>
    <row r="14" spans="1:14" ht="17.5" thickBot="1">
      <c r="B14" s="55"/>
      <c r="C14" s="55"/>
      <c r="D14" s="55"/>
      <c r="E14" s="55"/>
      <c r="F14" s="55"/>
      <c r="G14" s="55"/>
      <c r="H14" s="55"/>
      <c r="I14" s="55"/>
      <c r="J14" s="126" t="s">
        <v>60</v>
      </c>
      <c r="K14" s="105">
        <f>J5+J10</f>
        <v>1064915710271288.3</v>
      </c>
      <c r="L14" s="55"/>
      <c r="M14" s="55"/>
      <c r="N14" s="55"/>
    </row>
    <row r="15" spans="1:14" ht="17.5" thickBot="1">
      <c r="B15" s="55"/>
      <c r="C15" s="55"/>
      <c r="D15" s="55"/>
      <c r="E15" s="55"/>
      <c r="F15" s="55"/>
      <c r="G15" s="55"/>
      <c r="H15" s="55"/>
      <c r="I15" s="55"/>
      <c r="J15" s="126" t="s">
        <v>32</v>
      </c>
      <c r="K15" s="148">
        <f>SQRT(K14)</f>
        <v>32633046.291624203</v>
      </c>
      <c r="L15" s="55"/>
      <c r="M15" s="55"/>
      <c r="N15" s="55"/>
    </row>
    <row r="17" spans="2:11" ht="17.5" thickBot="1"/>
    <row r="18" spans="2:11" ht="17.5" thickBot="1">
      <c r="B18" s="126" t="s">
        <v>61</v>
      </c>
      <c r="C18" s="149">
        <v>1.25</v>
      </c>
      <c r="D18" s="55"/>
    </row>
    <row r="19" spans="2:11" ht="17.5" thickBot="1">
      <c r="B19" s="55"/>
      <c r="C19" s="158" t="str">
        <f>C3</f>
        <v>K</v>
      </c>
      <c r="D19" s="155" t="str">
        <f>D3</f>
        <v>Sb</v>
      </c>
      <c r="F19" s="109">
        <f>C20</f>
        <v>19403527.853912886</v>
      </c>
      <c r="G19" s="110">
        <f>C21</f>
        <v>3880705.5707825776</v>
      </c>
      <c r="H19" s="122">
        <v>1</v>
      </c>
      <c r="I19" s="123">
        <v>0</v>
      </c>
      <c r="J19" s="111">
        <f>F19</f>
        <v>19403527.853912886</v>
      </c>
      <c r="K19" s="55"/>
    </row>
    <row r="20" spans="2:11" ht="17.5" thickBot="1">
      <c r="B20" s="156" t="str">
        <f>B4</f>
        <v>TWD</v>
      </c>
      <c r="C20" s="82">
        <f>DeltaCap!BO29</f>
        <v>19403527.853912886</v>
      </c>
      <c r="D20" s="120">
        <f>D4</f>
        <v>-84671609.817237541</v>
      </c>
      <c r="F20" s="55"/>
      <c r="G20" s="55"/>
      <c r="H20" s="124">
        <v>0</v>
      </c>
      <c r="I20" s="125">
        <v>1</v>
      </c>
      <c r="J20" s="112">
        <f>G19</f>
        <v>3880705.5707825776</v>
      </c>
      <c r="K20" s="55"/>
    </row>
    <row r="21" spans="2:11" ht="17.5" thickBot="1">
      <c r="B21" s="157" t="str">
        <f>B5</f>
        <v>USD</v>
      </c>
      <c r="C21" s="108">
        <f>C20*0.2</f>
        <v>3880705.5707825776</v>
      </c>
      <c r="D21" s="121">
        <f>D5</f>
        <v>-16934321.963447507</v>
      </c>
      <c r="F21" s="55"/>
      <c r="G21" s="55"/>
      <c r="H21" s="113">
        <f t="array" ref="H21:I21">MMULT(F19:G19,H19:I20)</f>
        <v>19403527.853912886</v>
      </c>
      <c r="I21" s="114">
        <v>3880705.5707825776</v>
      </c>
      <c r="J21" s="61">
        <f t="array" ref="J21">MMULT(H21:I21,J19:J20)</f>
        <v>391556768904676.12</v>
      </c>
      <c r="K21" s="55"/>
    </row>
    <row r="22" spans="2:11" ht="17.5" thickBot="1">
      <c r="F22" s="55"/>
      <c r="G22" s="55"/>
      <c r="H22" s="55"/>
      <c r="I22" s="55"/>
      <c r="J22" s="55"/>
      <c r="K22" s="55"/>
    </row>
    <row r="23" spans="2:11" ht="17.5" thickBot="1">
      <c r="B23" s="126" t="s">
        <v>59</v>
      </c>
      <c r="C23" s="149">
        <v>0.5</v>
      </c>
      <c r="F23" s="55"/>
      <c r="G23" s="55"/>
      <c r="H23" s="55"/>
      <c r="I23" s="55"/>
      <c r="J23" s="55"/>
      <c r="K23" s="55"/>
    </row>
    <row r="24" spans="2:11" ht="17.5" thickBot="1">
      <c r="F24" s="115">
        <f>D20</f>
        <v>-84671609.817237541</v>
      </c>
      <c r="G24" s="116">
        <f>D21</f>
        <v>-16934321.963447507</v>
      </c>
      <c r="H24" s="122">
        <v>0</v>
      </c>
      <c r="I24" s="123">
        <f>H25</f>
        <v>0.3125</v>
      </c>
      <c r="J24" s="117">
        <f>F24</f>
        <v>-84671609.817237541</v>
      </c>
      <c r="K24" s="55"/>
    </row>
    <row r="25" spans="2:11" ht="17.5" thickBot="1">
      <c r="F25" s="55"/>
      <c r="G25" s="55"/>
      <c r="H25" s="124">
        <f>C23^2*C18</f>
        <v>0.3125</v>
      </c>
      <c r="I25" s="125">
        <v>0</v>
      </c>
      <c r="J25" s="118">
        <f>G24</f>
        <v>-16934321.963447507</v>
      </c>
      <c r="K25" s="55"/>
    </row>
    <row r="26" spans="2:11" ht="17.5" thickBot="1">
      <c r="F26" s="55"/>
      <c r="G26" s="55"/>
      <c r="H26" s="119">
        <f t="array" ref="H26:I26">MMULT(F24:G24,H24:I25)</f>
        <v>-5291975.6135773463</v>
      </c>
      <c r="I26" s="81">
        <v>-26459878.067886733</v>
      </c>
      <c r="J26" s="106">
        <f t="array" ref="J26">MMULT(H26:I26,J24:J25)</f>
        <v>896160188630314.62</v>
      </c>
      <c r="K26" s="55"/>
    </row>
    <row r="27" spans="2:11" ht="17.5" thickBot="1">
      <c r="F27" s="55"/>
      <c r="G27" s="55"/>
      <c r="H27" s="55"/>
      <c r="I27" s="55"/>
      <c r="J27" s="55"/>
      <c r="K27" s="55"/>
    </row>
    <row r="28" spans="2:11" ht="17.5" thickBot="1">
      <c r="F28" s="55"/>
      <c r="G28" s="55"/>
      <c r="H28" s="126" t="s">
        <v>31</v>
      </c>
      <c r="I28" s="127"/>
      <c r="J28" s="105" t="str">
        <f>IF((J21+J26)&gt;0,"OK","Change")</f>
        <v>OK</v>
      </c>
      <c r="K28" s="55"/>
    </row>
    <row r="29" spans="2:11" ht="17.5" thickBot="1">
      <c r="F29" s="55"/>
      <c r="G29" s="55"/>
      <c r="H29" s="55"/>
      <c r="I29" s="55"/>
      <c r="J29" s="55"/>
      <c r="K29" s="55"/>
    </row>
    <row r="30" spans="2:11" ht="17.5" thickBot="1">
      <c r="F30" s="55"/>
      <c r="G30" s="55"/>
      <c r="H30" s="55"/>
      <c r="I30" s="55"/>
      <c r="J30" s="126" t="s">
        <v>60</v>
      </c>
      <c r="K30" s="105">
        <f>J21+J26</f>
        <v>1287716957534990.7</v>
      </c>
    </row>
    <row r="31" spans="2:11" ht="17.5" thickBot="1">
      <c r="F31" s="55"/>
      <c r="G31" s="55"/>
      <c r="H31" s="55"/>
      <c r="I31" s="55"/>
      <c r="J31" s="126" t="s">
        <v>32</v>
      </c>
      <c r="K31" s="148">
        <f>SQRT(K30)</f>
        <v>35884773.33821395</v>
      </c>
    </row>
    <row r="33" spans="2:11" ht="17.5" thickBot="1"/>
    <row r="34" spans="2:11" ht="17.5" thickBot="1">
      <c r="B34" s="126" t="s">
        <v>62</v>
      </c>
      <c r="C34" s="149">
        <v>0.75</v>
      </c>
      <c r="D34" s="55"/>
    </row>
    <row r="35" spans="2:11" ht="17.5" thickBot="1">
      <c r="B35" s="55"/>
      <c r="C35" s="158" t="str">
        <f>C19</f>
        <v>K</v>
      </c>
      <c r="D35" s="155" t="str">
        <f>D19</f>
        <v>Sb</v>
      </c>
      <c r="F35" s="109">
        <f>C36</f>
        <v>17108768.271241382</v>
      </c>
      <c r="G35" s="110">
        <f>C37</f>
        <v>3421753.6542482767</v>
      </c>
      <c r="H35" s="122">
        <v>1</v>
      </c>
      <c r="I35" s="123">
        <v>0</v>
      </c>
      <c r="J35" s="111">
        <f>F35</f>
        <v>17108768.271241382</v>
      </c>
      <c r="K35" s="55"/>
    </row>
    <row r="36" spans="2:11" ht="17.5" thickBot="1">
      <c r="B36" s="156" t="str">
        <f>B20</f>
        <v>TWD</v>
      </c>
      <c r="C36" s="82">
        <f>DeltaCap!BO30</f>
        <v>17108768.271241382</v>
      </c>
      <c r="D36" s="120">
        <f>D20</f>
        <v>-84671609.817237541</v>
      </c>
      <c r="F36" s="55"/>
      <c r="G36" s="55"/>
      <c r="H36" s="124">
        <v>0</v>
      </c>
      <c r="I36" s="125">
        <v>1</v>
      </c>
      <c r="J36" s="112">
        <f>G35</f>
        <v>3421753.6542482767</v>
      </c>
      <c r="K36" s="55"/>
    </row>
    <row r="37" spans="2:11" ht="17.5" thickBot="1">
      <c r="B37" s="157" t="str">
        <f>B21</f>
        <v>USD</v>
      </c>
      <c r="C37" s="108">
        <f>C36*0.2</f>
        <v>3421753.6542482767</v>
      </c>
      <c r="D37" s="121">
        <f>D21</f>
        <v>-16934321.963447507</v>
      </c>
      <c r="F37" s="55"/>
      <c r="G37" s="55"/>
      <c r="H37" s="113">
        <f t="array" ref="H37:I37">MMULT(F35:G35,H35:I36)</f>
        <v>17108768.271241382</v>
      </c>
      <c r="I37" s="114">
        <v>3421753.6542482767</v>
      </c>
      <c r="J37" s="61">
        <f t="array" ref="J37">MMULT(H37:I37,J35:J36)</f>
        <v>304418349829397.25</v>
      </c>
      <c r="K37" s="55"/>
    </row>
    <row r="38" spans="2:11" ht="17.5" thickBot="1">
      <c r="F38" s="55"/>
      <c r="G38" s="55"/>
      <c r="H38" s="55"/>
      <c r="I38" s="55"/>
      <c r="J38" s="55"/>
      <c r="K38" s="55"/>
    </row>
    <row r="39" spans="2:11" ht="17.5" thickBot="1">
      <c r="B39" s="126" t="s">
        <v>59</v>
      </c>
      <c r="C39" s="149">
        <v>0.5</v>
      </c>
      <c r="F39" s="55"/>
      <c r="G39" s="55"/>
      <c r="H39" s="55"/>
      <c r="I39" s="55"/>
      <c r="J39" s="55"/>
      <c r="K39" s="55"/>
    </row>
    <row r="40" spans="2:11" ht="17.5" thickBot="1">
      <c r="F40" s="115">
        <f>D36</f>
        <v>-84671609.817237541</v>
      </c>
      <c r="G40" s="116">
        <f>D37</f>
        <v>-16934321.963447507</v>
      </c>
      <c r="H40" s="122">
        <v>0</v>
      </c>
      <c r="I40" s="123">
        <f>H41</f>
        <v>0.1875</v>
      </c>
      <c r="J40" s="117">
        <f>F40</f>
        <v>-84671609.817237541</v>
      </c>
      <c r="K40" s="55"/>
    </row>
    <row r="41" spans="2:11" ht="17.5" thickBot="1">
      <c r="F41" s="55"/>
      <c r="G41" s="55"/>
      <c r="H41" s="124">
        <f>C39^2*C34</f>
        <v>0.1875</v>
      </c>
      <c r="I41" s="125">
        <v>0</v>
      </c>
      <c r="J41" s="118">
        <f>G40</f>
        <v>-16934321.963447507</v>
      </c>
      <c r="K41" s="55"/>
    </row>
    <row r="42" spans="2:11" ht="17.5" thickBot="1">
      <c r="F42" s="55"/>
      <c r="G42" s="55"/>
      <c r="H42" s="119">
        <f t="array" ref="H42:I42">MMULT(F40:G40,H40:I41)</f>
        <v>-3175185.3681464074</v>
      </c>
      <c r="I42" s="81">
        <v>-15875926.840732038</v>
      </c>
      <c r="J42" s="106">
        <f t="array" ref="J42">MMULT(H42:I42,J40:J41)</f>
        <v>537696113178188.69</v>
      </c>
      <c r="K42" s="55"/>
    </row>
    <row r="43" spans="2:11" ht="17.5" thickBot="1">
      <c r="F43" s="55"/>
      <c r="G43" s="55"/>
      <c r="H43" s="55"/>
      <c r="I43" s="55"/>
      <c r="J43" s="55"/>
      <c r="K43" s="55"/>
    </row>
    <row r="44" spans="2:11" ht="17.5" thickBot="1">
      <c r="F44" s="55"/>
      <c r="G44" s="55"/>
      <c r="H44" s="126" t="s">
        <v>31</v>
      </c>
      <c r="I44" s="127"/>
      <c r="J44" s="105" t="str">
        <f>IF((J37+J42)&gt;0,"OK","Change")</f>
        <v>OK</v>
      </c>
      <c r="K44" s="55"/>
    </row>
    <row r="45" spans="2:11" ht="17.5" thickBot="1">
      <c r="F45" s="55"/>
      <c r="G45" s="55"/>
      <c r="H45" s="55"/>
      <c r="I45" s="55"/>
      <c r="J45" s="55"/>
      <c r="K45" s="55"/>
    </row>
    <row r="46" spans="2:11" ht="17.5" thickBot="1">
      <c r="F46" s="55"/>
      <c r="G46" s="55"/>
      <c r="H46" s="55"/>
      <c r="I46" s="55"/>
      <c r="J46" s="126" t="s">
        <v>60</v>
      </c>
      <c r="K46" s="105">
        <f>J37+J42</f>
        <v>842114463007586</v>
      </c>
    </row>
    <row r="47" spans="2:11" ht="17.5" thickBot="1">
      <c r="F47" s="55"/>
      <c r="G47" s="55"/>
      <c r="H47" s="55"/>
      <c r="I47" s="55"/>
      <c r="J47" s="126" t="s">
        <v>32</v>
      </c>
      <c r="K47" s="148">
        <f>SQRT(K46)</f>
        <v>29019208.517938357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BL33"/>
  <sheetViews>
    <sheetView workbookViewId="0">
      <selection activeCell="J13" sqref="J13"/>
    </sheetView>
  </sheetViews>
  <sheetFormatPr defaultColWidth="9.26953125" defaultRowHeight="15.5"/>
  <cols>
    <col min="1" max="1" width="9.26953125" style="55"/>
    <col min="2" max="2" width="11" style="55" customWidth="1"/>
    <col min="3" max="3" width="14.7265625" style="55" customWidth="1"/>
    <col min="4" max="4" width="13.26953125" style="55" customWidth="1"/>
    <col min="5" max="5" width="14.6328125" style="55" customWidth="1"/>
    <col min="6" max="6" width="16.90625" style="55" customWidth="1"/>
    <col min="7" max="7" width="15.26953125" style="55" customWidth="1"/>
    <col min="8" max="8" width="15.7265625" style="55" customWidth="1"/>
    <col min="9" max="9" width="9.26953125" style="55"/>
    <col min="10" max="10" width="12.26953125" style="55" customWidth="1"/>
    <col min="11" max="41" width="9.26953125" style="55"/>
    <col min="42" max="42" width="9.7265625" style="55" bestFit="1" customWidth="1"/>
    <col min="43" max="63" width="9.26953125" style="55"/>
    <col min="64" max="64" width="14.7265625" style="55" customWidth="1"/>
    <col min="65" max="16384" width="9.26953125" style="55"/>
  </cols>
  <sheetData>
    <row r="1" spans="1:64" ht="16" thickBot="1">
      <c r="A1" s="75">
        <v>1</v>
      </c>
      <c r="B1" s="75">
        <f>A1+1</f>
        <v>2</v>
      </c>
      <c r="C1" s="75">
        <f t="shared" ref="C1:BJ1" si="0">B1+1</f>
        <v>3</v>
      </c>
      <c r="D1" s="75">
        <f t="shared" si="0"/>
        <v>4</v>
      </c>
      <c r="E1" s="75">
        <f t="shared" si="0"/>
        <v>5</v>
      </c>
      <c r="F1" s="75">
        <f t="shared" si="0"/>
        <v>6</v>
      </c>
      <c r="G1" s="75">
        <f t="shared" si="0"/>
        <v>7</v>
      </c>
      <c r="H1" s="75">
        <f t="shared" si="0"/>
        <v>8</v>
      </c>
      <c r="I1" s="75">
        <f t="shared" si="0"/>
        <v>9</v>
      </c>
      <c r="J1" s="75">
        <f t="shared" si="0"/>
        <v>10</v>
      </c>
      <c r="K1" s="75">
        <f t="shared" si="0"/>
        <v>11</v>
      </c>
      <c r="L1" s="75">
        <f t="shared" si="0"/>
        <v>12</v>
      </c>
      <c r="M1" s="75">
        <f t="shared" si="0"/>
        <v>13</v>
      </c>
      <c r="N1" s="75">
        <f t="shared" si="0"/>
        <v>14</v>
      </c>
      <c r="O1" s="75">
        <f t="shared" si="0"/>
        <v>15</v>
      </c>
      <c r="P1" s="75">
        <f t="shared" si="0"/>
        <v>16</v>
      </c>
      <c r="Q1" s="75">
        <f t="shared" si="0"/>
        <v>17</v>
      </c>
      <c r="R1" s="75">
        <f t="shared" si="0"/>
        <v>18</v>
      </c>
      <c r="S1" s="75">
        <f t="shared" si="0"/>
        <v>19</v>
      </c>
      <c r="T1" s="75">
        <f t="shared" si="0"/>
        <v>20</v>
      </c>
      <c r="U1" s="75">
        <f t="shared" si="0"/>
        <v>21</v>
      </c>
      <c r="V1" s="75">
        <f t="shared" si="0"/>
        <v>22</v>
      </c>
      <c r="W1" s="75">
        <f t="shared" si="0"/>
        <v>23</v>
      </c>
      <c r="X1" s="75">
        <f t="shared" si="0"/>
        <v>24</v>
      </c>
      <c r="Y1" s="75">
        <f t="shared" si="0"/>
        <v>25</v>
      </c>
      <c r="Z1" s="75">
        <f t="shared" si="0"/>
        <v>26</v>
      </c>
      <c r="AA1" s="75">
        <f t="shared" si="0"/>
        <v>27</v>
      </c>
      <c r="AB1" s="75">
        <f t="shared" si="0"/>
        <v>28</v>
      </c>
      <c r="AC1" s="75">
        <f t="shared" si="0"/>
        <v>29</v>
      </c>
      <c r="AD1" s="75">
        <f t="shared" si="0"/>
        <v>30</v>
      </c>
      <c r="AE1" s="75">
        <f t="shared" si="0"/>
        <v>31</v>
      </c>
      <c r="AF1" s="75">
        <f t="shared" si="0"/>
        <v>32</v>
      </c>
      <c r="AG1" s="75">
        <f t="shared" si="0"/>
        <v>33</v>
      </c>
      <c r="AH1" s="75">
        <f t="shared" si="0"/>
        <v>34</v>
      </c>
      <c r="AI1" s="75">
        <f t="shared" si="0"/>
        <v>35</v>
      </c>
      <c r="AJ1" s="75">
        <f t="shared" si="0"/>
        <v>36</v>
      </c>
      <c r="AK1" s="75">
        <f t="shared" si="0"/>
        <v>37</v>
      </c>
      <c r="AL1" s="75">
        <f t="shared" si="0"/>
        <v>38</v>
      </c>
      <c r="AM1" s="75">
        <f t="shared" si="0"/>
        <v>39</v>
      </c>
      <c r="AN1" s="75">
        <f t="shared" si="0"/>
        <v>40</v>
      </c>
      <c r="AO1" s="75">
        <f t="shared" si="0"/>
        <v>41</v>
      </c>
      <c r="AP1" s="75">
        <f t="shared" si="0"/>
        <v>42</v>
      </c>
      <c r="AQ1" s="75">
        <f t="shared" si="0"/>
        <v>43</v>
      </c>
      <c r="AR1" s="75">
        <f t="shared" si="0"/>
        <v>44</v>
      </c>
      <c r="AS1" s="75">
        <f t="shared" si="0"/>
        <v>45</v>
      </c>
      <c r="AT1" s="75">
        <f t="shared" si="0"/>
        <v>46</v>
      </c>
      <c r="AU1" s="75">
        <f t="shared" si="0"/>
        <v>47</v>
      </c>
      <c r="AV1" s="75">
        <f t="shared" si="0"/>
        <v>48</v>
      </c>
      <c r="AW1" s="75">
        <f t="shared" si="0"/>
        <v>49</v>
      </c>
      <c r="AX1" s="75">
        <f t="shared" si="0"/>
        <v>50</v>
      </c>
      <c r="AY1" s="75">
        <f t="shared" si="0"/>
        <v>51</v>
      </c>
      <c r="AZ1" s="75">
        <f t="shared" si="0"/>
        <v>52</v>
      </c>
      <c r="BA1" s="75">
        <f t="shared" si="0"/>
        <v>53</v>
      </c>
      <c r="BB1" s="75">
        <f t="shared" si="0"/>
        <v>54</v>
      </c>
      <c r="BC1" s="75">
        <f t="shared" si="0"/>
        <v>55</v>
      </c>
      <c r="BD1" s="75">
        <f t="shared" si="0"/>
        <v>56</v>
      </c>
      <c r="BE1" s="75">
        <f t="shared" si="0"/>
        <v>57</v>
      </c>
      <c r="BF1" s="75">
        <f t="shared" si="0"/>
        <v>58</v>
      </c>
      <c r="BG1" s="75">
        <f t="shared" si="0"/>
        <v>59</v>
      </c>
      <c r="BH1" s="75">
        <f t="shared" si="0"/>
        <v>60</v>
      </c>
      <c r="BI1" s="75">
        <f t="shared" si="0"/>
        <v>61</v>
      </c>
      <c r="BJ1" s="75">
        <f t="shared" si="0"/>
        <v>62</v>
      </c>
      <c r="BL1" s="75"/>
    </row>
    <row r="2" spans="1:64" ht="16" thickBot="1">
      <c r="A2" s="75"/>
      <c r="B2" s="75" t="s">
        <v>63</v>
      </c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6" t="s">
        <v>17</v>
      </c>
      <c r="BL2" s="75"/>
    </row>
    <row r="3" spans="1:64" ht="16" thickBot="1">
      <c r="A3" s="75"/>
      <c r="B3" s="77">
        <v>-3831.5955747664052</v>
      </c>
      <c r="C3" s="78">
        <v>-2.6747584342956818E-6</v>
      </c>
      <c r="D3" s="78">
        <v>-11.95510629378259</v>
      </c>
      <c r="E3" s="78">
        <v>-10237.63320052065</v>
      </c>
      <c r="F3" s="78">
        <v>-1.6693212091922829E-3</v>
      </c>
      <c r="G3" s="78">
        <v>-10.106484632942729</v>
      </c>
      <c r="H3" s="78">
        <v>-644755.17572524119</v>
      </c>
      <c r="I3" s="78">
        <v>-239.72509921901661</v>
      </c>
      <c r="J3" s="78">
        <v>-429960.79729110468</v>
      </c>
      <c r="K3" s="78">
        <v>0</v>
      </c>
      <c r="L3" s="79">
        <v>-3821.6924156480304</v>
      </c>
      <c r="M3" s="79">
        <v>5.4676610843744271</v>
      </c>
      <c r="N3" s="79">
        <v>50.224077225313664</v>
      </c>
      <c r="O3" s="79">
        <v>-146.08950838062637</v>
      </c>
      <c r="P3" s="79">
        <v>-1911.9322340327824</v>
      </c>
      <c r="Q3" s="79">
        <v>-5619.9748036838137</v>
      </c>
      <c r="R3" s="79">
        <v>-704.22602411836851</v>
      </c>
      <c r="S3" s="79">
        <v>0</v>
      </c>
      <c r="T3" s="79">
        <v>0</v>
      </c>
      <c r="U3" s="79">
        <v>0</v>
      </c>
      <c r="V3" s="80">
        <f>FXImpCurve!BB2</f>
        <v>-34.610328719095854</v>
      </c>
      <c r="W3" s="80">
        <f>FXImpCurve!BC2</f>
        <v>71.902661658887283</v>
      </c>
      <c r="X3" s="80">
        <f>FXImpCurve!BD2</f>
        <v>-193.3809669859111</v>
      </c>
      <c r="Y3" s="80">
        <f>FXImpCurve!BE2</f>
        <v>0</v>
      </c>
      <c r="Z3" s="80">
        <f>FXImpCurve!BF2</f>
        <v>0</v>
      </c>
      <c r="AA3" s="80">
        <f>FXImpCurve!BG2</f>
        <v>0</v>
      </c>
      <c r="AB3" s="80">
        <f>FXImpCurve!BH2</f>
        <v>0</v>
      </c>
      <c r="AC3" s="80">
        <f>FXImpCurve!BI2</f>
        <v>0</v>
      </c>
      <c r="AD3" s="80">
        <f>FXImpCurve!BJ2</f>
        <v>0</v>
      </c>
      <c r="AE3" s="81">
        <f>FXImpCurve!BK2</f>
        <v>0</v>
      </c>
      <c r="AF3" s="75"/>
      <c r="AG3" s="82">
        <v>1</v>
      </c>
      <c r="AH3" s="83">
        <v>0.97044553354850815</v>
      </c>
      <c r="AI3" s="83">
        <v>0.91393118527122819</v>
      </c>
      <c r="AJ3" s="83">
        <v>0.81058424597018708</v>
      </c>
      <c r="AK3" s="83">
        <v>0.71892373343192617</v>
      </c>
      <c r="AL3" s="83">
        <v>0.56552543869953709</v>
      </c>
      <c r="AM3" s="83">
        <v>0.4</v>
      </c>
      <c r="AN3" s="83">
        <v>0.4</v>
      </c>
      <c r="AO3" s="83">
        <v>0.4</v>
      </c>
      <c r="AP3" s="83">
        <v>0.4</v>
      </c>
      <c r="AQ3" s="84">
        <v>0.999</v>
      </c>
      <c r="AR3" s="84">
        <v>0.96947508801495963</v>
      </c>
      <c r="AS3" s="84">
        <v>0.91301725408595691</v>
      </c>
      <c r="AT3" s="84">
        <v>0.80977366172421694</v>
      </c>
      <c r="AU3" s="84">
        <v>0.71820480969849421</v>
      </c>
      <c r="AV3" s="84">
        <v>0.5649599132608375</v>
      </c>
      <c r="AW3" s="84">
        <v>0.39960000000000001</v>
      </c>
      <c r="AX3" s="84">
        <v>0.39960000000000001</v>
      </c>
      <c r="AY3" s="84">
        <v>0.39960000000000001</v>
      </c>
      <c r="AZ3" s="84">
        <v>0.39960000000000001</v>
      </c>
      <c r="BA3" s="85">
        <v>0.999</v>
      </c>
      <c r="BB3" s="85">
        <v>0.96947508801495963</v>
      </c>
      <c r="BC3" s="85">
        <v>0.91301725408595691</v>
      </c>
      <c r="BD3" s="85">
        <v>0.80977366172421694</v>
      </c>
      <c r="BE3" s="85">
        <v>0.71820480969849421</v>
      </c>
      <c r="BF3" s="85">
        <v>0.5649599132608375</v>
      </c>
      <c r="BG3" s="85">
        <v>0.39960000000000001</v>
      </c>
      <c r="BH3" s="85">
        <v>0.39960000000000001</v>
      </c>
      <c r="BI3" s="85">
        <v>0.39960000000000001</v>
      </c>
      <c r="BJ3" s="86">
        <v>0.39960000000000001</v>
      </c>
      <c r="BL3" s="75"/>
    </row>
    <row r="4" spans="1:64">
      <c r="A4" s="75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87">
        <v>0.97044553354850815</v>
      </c>
      <c r="AH4" s="88">
        <v>1</v>
      </c>
      <c r="AI4" s="88">
        <v>0.97044553354850815</v>
      </c>
      <c r="AJ4" s="88">
        <v>0.91393118527122819</v>
      </c>
      <c r="AK4" s="88">
        <v>0.86070797642505781</v>
      </c>
      <c r="AL4" s="88">
        <v>0.76337949433685315</v>
      </c>
      <c r="AM4" s="88">
        <v>0.56552543869953709</v>
      </c>
      <c r="AN4" s="88">
        <v>0.418951549247639</v>
      </c>
      <c r="AO4" s="88">
        <v>0.4</v>
      </c>
      <c r="AP4" s="88">
        <v>0.4</v>
      </c>
      <c r="AQ4" s="89">
        <v>0.96947508801495963</v>
      </c>
      <c r="AR4" s="89">
        <v>0.999</v>
      </c>
      <c r="AS4" s="89">
        <v>0.96947508801495963</v>
      </c>
      <c r="AT4" s="89">
        <v>0.91301725408595691</v>
      </c>
      <c r="AU4" s="89">
        <v>0.8598472684486328</v>
      </c>
      <c r="AV4" s="89">
        <v>0.76261611484251635</v>
      </c>
      <c r="AW4" s="89">
        <v>0.5649599132608375</v>
      </c>
      <c r="AX4" s="89">
        <v>0.41853259769839135</v>
      </c>
      <c r="AY4" s="89">
        <v>0.39960000000000001</v>
      </c>
      <c r="AZ4" s="89">
        <v>0.39960000000000001</v>
      </c>
      <c r="BA4" s="67">
        <v>0.96947508801495963</v>
      </c>
      <c r="BB4" s="67">
        <v>0.999</v>
      </c>
      <c r="BC4" s="67">
        <v>0.96947508801495963</v>
      </c>
      <c r="BD4" s="67">
        <v>0.91301725408595691</v>
      </c>
      <c r="BE4" s="67">
        <v>0.8598472684486328</v>
      </c>
      <c r="BF4" s="67">
        <v>0.76261611484251635</v>
      </c>
      <c r="BG4" s="67">
        <v>0.5649599132608375</v>
      </c>
      <c r="BH4" s="67">
        <v>0.41853259769839135</v>
      </c>
      <c r="BI4" s="67">
        <v>0.39960000000000001</v>
      </c>
      <c r="BJ4" s="90">
        <v>0.39960000000000001</v>
      </c>
      <c r="BL4" s="75"/>
    </row>
    <row r="5" spans="1:64">
      <c r="A5" s="75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87">
        <v>0.99908678121970407</v>
      </c>
      <c r="AH5" s="88">
        <v>0.97044553354850815</v>
      </c>
      <c r="AI5" s="88">
        <v>1</v>
      </c>
      <c r="AJ5" s="88">
        <v>0.97044553354850815</v>
      </c>
      <c r="AK5" s="88">
        <v>0.94176453358424872</v>
      </c>
      <c r="AL5" s="88">
        <v>0.88692043671715748</v>
      </c>
      <c r="AM5" s="88">
        <v>0.76337949433685315</v>
      </c>
      <c r="AN5" s="88">
        <v>0.65704681981505675</v>
      </c>
      <c r="AO5" s="88">
        <v>0.56552543869953709</v>
      </c>
      <c r="AP5" s="88">
        <v>0.418951549247639</v>
      </c>
      <c r="AQ5" s="89">
        <v>0.91301725408595691</v>
      </c>
      <c r="AR5" s="89">
        <v>0.96947508801495963</v>
      </c>
      <c r="AS5" s="89">
        <v>0.999</v>
      </c>
      <c r="AT5" s="89">
        <v>0.96947508801495963</v>
      </c>
      <c r="AU5" s="89">
        <v>0.94082276905066442</v>
      </c>
      <c r="AV5" s="89">
        <v>0.88603351628044036</v>
      </c>
      <c r="AW5" s="89">
        <v>0.76261611484251635</v>
      </c>
      <c r="AX5" s="89">
        <v>0.6563897729952417</v>
      </c>
      <c r="AY5" s="89">
        <v>0.5649599132608375</v>
      </c>
      <c r="AZ5" s="89">
        <v>0.41853259769839135</v>
      </c>
      <c r="BA5" s="67">
        <v>0.91301725408595691</v>
      </c>
      <c r="BB5" s="67">
        <v>0.96947508801495963</v>
      </c>
      <c r="BC5" s="67">
        <v>0.999</v>
      </c>
      <c r="BD5" s="67">
        <v>0.96947508801495963</v>
      </c>
      <c r="BE5" s="67">
        <v>0.94082276905066442</v>
      </c>
      <c r="BF5" s="67">
        <v>0.88603351628044036</v>
      </c>
      <c r="BG5" s="67">
        <v>0.76261611484251635</v>
      </c>
      <c r="BH5" s="67">
        <v>0.6563897729952417</v>
      </c>
      <c r="BI5" s="67">
        <v>0.5649599132608375</v>
      </c>
      <c r="BJ5" s="90">
        <v>0.41853259769839135</v>
      </c>
      <c r="BL5" s="75"/>
    </row>
    <row r="6" spans="1:64">
      <c r="A6" s="75"/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87">
        <v>0.97039231265908577</v>
      </c>
      <c r="AH6" s="88">
        <v>0.91393118527122819</v>
      </c>
      <c r="AI6" s="88">
        <v>0.97044553354850815</v>
      </c>
      <c r="AJ6" s="88">
        <v>1</v>
      </c>
      <c r="AK6" s="88">
        <v>0.98511193960306265</v>
      </c>
      <c r="AL6" s="88">
        <v>0.95599748183309996</v>
      </c>
      <c r="AM6" s="88">
        <v>0.88692043671715748</v>
      </c>
      <c r="AN6" s="88">
        <v>0.82283465805601841</v>
      </c>
      <c r="AO6" s="88">
        <v>0.76337949433685315</v>
      </c>
      <c r="AP6" s="88">
        <v>0.65704681981505675</v>
      </c>
      <c r="AQ6" s="89">
        <v>0.80977366172421694</v>
      </c>
      <c r="AR6" s="89">
        <v>0.91301725408595691</v>
      </c>
      <c r="AS6" s="89">
        <v>0.96947508801495963</v>
      </c>
      <c r="AT6" s="89">
        <v>0.999</v>
      </c>
      <c r="AU6" s="89">
        <v>0.9841268276634596</v>
      </c>
      <c r="AV6" s="89">
        <v>0.9550414843512669</v>
      </c>
      <c r="AW6" s="89">
        <v>0.88603351628044036</v>
      </c>
      <c r="AX6" s="89">
        <v>0.82201182339796242</v>
      </c>
      <c r="AY6" s="89">
        <v>0.76261611484251635</v>
      </c>
      <c r="AZ6" s="89">
        <v>0.6563897729952417</v>
      </c>
      <c r="BA6" s="67">
        <v>0.80977366172421694</v>
      </c>
      <c r="BB6" s="67">
        <v>0.91301725408595691</v>
      </c>
      <c r="BC6" s="67">
        <v>0.96947508801495963</v>
      </c>
      <c r="BD6" s="67">
        <v>0.999</v>
      </c>
      <c r="BE6" s="67">
        <v>0.9841268276634596</v>
      </c>
      <c r="BF6" s="67">
        <v>0.9550414843512669</v>
      </c>
      <c r="BG6" s="67">
        <v>0.88603351628044036</v>
      </c>
      <c r="BH6" s="67">
        <v>0.82201182339796242</v>
      </c>
      <c r="BI6" s="67">
        <v>0.76261611484251635</v>
      </c>
      <c r="BJ6" s="90">
        <v>0.6563897729952417</v>
      </c>
      <c r="BL6" s="75"/>
    </row>
    <row r="7" spans="1:64" ht="16" thickBot="1">
      <c r="A7" s="75"/>
      <c r="B7" s="75" t="s">
        <v>64</v>
      </c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87">
        <v>0.9391820008776941</v>
      </c>
      <c r="AH7" s="88">
        <v>0.86070797642505781</v>
      </c>
      <c r="AI7" s="88">
        <v>0.94176453358424872</v>
      </c>
      <c r="AJ7" s="88">
        <v>0.98511193960306265</v>
      </c>
      <c r="AK7" s="88">
        <v>1</v>
      </c>
      <c r="AL7" s="88">
        <v>0.98019867330675525</v>
      </c>
      <c r="AM7" s="88">
        <v>0.93239381990594827</v>
      </c>
      <c r="AN7" s="88">
        <v>0.88692043671715748</v>
      </c>
      <c r="AO7" s="88">
        <v>0.8436648165963837</v>
      </c>
      <c r="AP7" s="88">
        <v>0.76337949433685326</v>
      </c>
      <c r="AQ7" s="89">
        <v>0.71820480969849421</v>
      </c>
      <c r="AR7" s="89">
        <v>0.8598472684486328</v>
      </c>
      <c r="AS7" s="89">
        <v>0.94082276905066442</v>
      </c>
      <c r="AT7" s="89">
        <v>0.9841268276634596</v>
      </c>
      <c r="AU7" s="89">
        <v>0.999</v>
      </c>
      <c r="AV7" s="89">
        <v>0.97921847463344847</v>
      </c>
      <c r="AW7" s="89">
        <v>0.93146142608604232</v>
      </c>
      <c r="AX7" s="89">
        <v>0.88603351628044036</v>
      </c>
      <c r="AY7" s="89">
        <v>0.84282115177978734</v>
      </c>
      <c r="AZ7" s="89">
        <v>0.76261611484251646</v>
      </c>
      <c r="BA7" s="67">
        <v>0.71820480969849421</v>
      </c>
      <c r="BB7" s="67">
        <v>0.8598472684486328</v>
      </c>
      <c r="BC7" s="67">
        <v>0.94082276905066442</v>
      </c>
      <c r="BD7" s="67">
        <v>0.9841268276634596</v>
      </c>
      <c r="BE7" s="67">
        <v>0.999</v>
      </c>
      <c r="BF7" s="67">
        <v>0.97921847463344847</v>
      </c>
      <c r="BG7" s="67">
        <v>0.93146142608604232</v>
      </c>
      <c r="BH7" s="67">
        <v>0.88603351628044036</v>
      </c>
      <c r="BI7" s="67">
        <v>0.84282115177978734</v>
      </c>
      <c r="BJ7" s="90">
        <v>0.76261611484251646</v>
      </c>
      <c r="BL7" s="75"/>
    </row>
    <row r="8" spans="1:64" ht="16" thickBot="1">
      <c r="A8" s="75"/>
      <c r="B8" s="77">
        <v>-3904.4763222932738</v>
      </c>
      <c r="C8" s="78">
        <v>-4.5318156480788914E-6</v>
      </c>
      <c r="D8" s="78">
        <v>-12.10545822046697</v>
      </c>
      <c r="E8" s="78">
        <v>-10584.565291913221</v>
      </c>
      <c r="F8" s="78">
        <v>-1.736156642436974E-3</v>
      </c>
      <c r="G8" s="78">
        <v>-10.231076629828751</v>
      </c>
      <c r="H8" s="78">
        <v>-730260.2720593838</v>
      </c>
      <c r="I8" s="78">
        <v>-243.77171393296891</v>
      </c>
      <c r="J8" s="78">
        <v>-542518.63291020505</v>
      </c>
      <c r="K8" s="78">
        <v>0</v>
      </c>
      <c r="L8" s="79">
        <v>-3894.843195648974</v>
      </c>
      <c r="M8" s="79">
        <v>1.8596327516715836</v>
      </c>
      <c r="N8" s="79">
        <v>21.668892826186351</v>
      </c>
      <c r="O8" s="79">
        <v>-160.37902403750735</v>
      </c>
      <c r="P8" s="79">
        <v>-1729.9468109219988</v>
      </c>
      <c r="Q8" s="79">
        <v>-5825.5745921346834</v>
      </c>
      <c r="R8" s="79">
        <v>-732.55008022976108</v>
      </c>
      <c r="S8" s="79">
        <v>0</v>
      </c>
      <c r="T8" s="79">
        <v>0</v>
      </c>
      <c r="U8" s="79">
        <v>0</v>
      </c>
      <c r="V8" s="80">
        <f>FXImpCurve!BN2</f>
        <v>-34.300513382120236</v>
      </c>
      <c r="W8" s="80">
        <f>FXImpCurve!BO2</f>
        <v>74.161245349388409</v>
      </c>
      <c r="X8" s="80">
        <f>FXImpCurve!BP2</f>
        <v>-192.145563349627</v>
      </c>
      <c r="Y8" s="80">
        <f>FXImpCurve!BQ2</f>
        <v>0</v>
      </c>
      <c r="Z8" s="80">
        <f>FXImpCurve!BR2</f>
        <v>0</v>
      </c>
      <c r="AA8" s="80">
        <f>FXImpCurve!BS2</f>
        <v>0</v>
      </c>
      <c r="AB8" s="80">
        <f>FXImpCurve!BT2</f>
        <v>0</v>
      </c>
      <c r="AC8" s="80">
        <f>FXImpCurve!BU2</f>
        <v>0</v>
      </c>
      <c r="AD8" s="80">
        <f>FXImpCurve!BV2</f>
        <v>0</v>
      </c>
      <c r="AE8" s="81">
        <f>FXImpCurve!BW2</f>
        <v>0</v>
      </c>
      <c r="AF8" s="75"/>
      <c r="AG8" s="87">
        <v>0.87834708291788832</v>
      </c>
      <c r="AH8" s="88">
        <v>0.76337949433685315</v>
      </c>
      <c r="AI8" s="88">
        <v>0.88692043671715748</v>
      </c>
      <c r="AJ8" s="88">
        <v>0.95599748183309996</v>
      </c>
      <c r="AK8" s="88">
        <v>0.98019867330675525</v>
      </c>
      <c r="AL8" s="88">
        <v>1</v>
      </c>
      <c r="AM8" s="88">
        <v>0.97044553354850815</v>
      </c>
      <c r="AN8" s="88">
        <v>0.94176453358424872</v>
      </c>
      <c r="AO8" s="88">
        <v>0.91393118527122819</v>
      </c>
      <c r="AP8" s="88">
        <v>0.86070797642505781</v>
      </c>
      <c r="AQ8" s="89">
        <v>0.5649599132608375</v>
      </c>
      <c r="AR8" s="89">
        <v>0.76261611484251635</v>
      </c>
      <c r="AS8" s="89">
        <v>0.88603351628044036</v>
      </c>
      <c r="AT8" s="89">
        <v>0.9550414843512669</v>
      </c>
      <c r="AU8" s="89">
        <v>0.97921847463344847</v>
      </c>
      <c r="AV8" s="89">
        <v>0.999</v>
      </c>
      <c r="AW8" s="89">
        <v>0.96947508801495963</v>
      </c>
      <c r="AX8" s="89">
        <v>0.94082276905066442</v>
      </c>
      <c r="AY8" s="89">
        <v>0.91301725408595691</v>
      </c>
      <c r="AZ8" s="89">
        <v>0.8598472684486328</v>
      </c>
      <c r="BA8" s="67">
        <v>0.5649599132608375</v>
      </c>
      <c r="BB8" s="67">
        <v>0.76261611484251635</v>
      </c>
      <c r="BC8" s="67">
        <v>0.88603351628044036</v>
      </c>
      <c r="BD8" s="67">
        <v>0.9550414843512669</v>
      </c>
      <c r="BE8" s="67">
        <v>0.97921847463344847</v>
      </c>
      <c r="BF8" s="67">
        <v>0.999</v>
      </c>
      <c r="BG8" s="67">
        <v>0.96947508801495963</v>
      </c>
      <c r="BH8" s="67">
        <v>0.94082276905066442</v>
      </c>
      <c r="BI8" s="67">
        <v>0.91301725408595691</v>
      </c>
      <c r="BJ8" s="90">
        <v>0.8598472684486328</v>
      </c>
      <c r="BL8" s="75"/>
    </row>
    <row r="9" spans="1:64">
      <c r="A9" s="75"/>
      <c r="B9" s="75"/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87">
        <v>0.73231053229201482</v>
      </c>
      <c r="AH9" s="88">
        <v>0.56552543869953709</v>
      </c>
      <c r="AI9" s="88">
        <v>0.76337949433685315</v>
      </c>
      <c r="AJ9" s="88">
        <v>0.88692043671715748</v>
      </c>
      <c r="AK9" s="88">
        <v>0.93239381990594827</v>
      </c>
      <c r="AL9" s="88">
        <v>0.97044553354850815</v>
      </c>
      <c r="AM9" s="88">
        <v>1</v>
      </c>
      <c r="AN9" s="88">
        <v>0.98511193960306265</v>
      </c>
      <c r="AO9" s="88">
        <v>0.97044553354850815</v>
      </c>
      <c r="AP9" s="88">
        <v>0.94176453358424872</v>
      </c>
      <c r="AQ9" s="89">
        <v>0.39960000000000001</v>
      </c>
      <c r="AR9" s="89">
        <v>0.5649599132608375</v>
      </c>
      <c r="AS9" s="89">
        <v>0.76261611484251635</v>
      </c>
      <c r="AT9" s="89">
        <v>0.88603351628044036</v>
      </c>
      <c r="AU9" s="89">
        <v>0.93146142608604232</v>
      </c>
      <c r="AV9" s="89">
        <v>0.96947508801495963</v>
      </c>
      <c r="AW9" s="89">
        <v>0.999</v>
      </c>
      <c r="AX9" s="89">
        <v>0.9841268276634596</v>
      </c>
      <c r="AY9" s="89">
        <v>0.96947508801495963</v>
      </c>
      <c r="AZ9" s="89">
        <v>0.94082276905066442</v>
      </c>
      <c r="BA9" s="67">
        <v>0.39960000000000001</v>
      </c>
      <c r="BB9" s="67">
        <v>0.5649599132608375</v>
      </c>
      <c r="BC9" s="67">
        <v>0.76261611484251635</v>
      </c>
      <c r="BD9" s="67">
        <v>0.88603351628044036</v>
      </c>
      <c r="BE9" s="67">
        <v>0.93146142608604232</v>
      </c>
      <c r="BF9" s="67">
        <v>0.96947508801495963</v>
      </c>
      <c r="BG9" s="67">
        <v>0.999</v>
      </c>
      <c r="BH9" s="67">
        <v>0.9841268276634596</v>
      </c>
      <c r="BI9" s="67">
        <v>0.96947508801495963</v>
      </c>
      <c r="BJ9" s="90">
        <v>0.94082276905066442</v>
      </c>
      <c r="BL9" s="75"/>
    </row>
    <row r="10" spans="1:64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87">
        <v>0.55738815465136704</v>
      </c>
      <c r="AH10" s="88">
        <v>0.418951549247639</v>
      </c>
      <c r="AI10" s="88">
        <v>0.65704681981505675</v>
      </c>
      <c r="AJ10" s="88">
        <v>0.82283465805601841</v>
      </c>
      <c r="AK10" s="88">
        <v>0.88692043671715748</v>
      </c>
      <c r="AL10" s="88">
        <v>0.94176453358424872</v>
      </c>
      <c r="AM10" s="88">
        <v>0.98511193960306265</v>
      </c>
      <c r="AN10" s="88">
        <v>1</v>
      </c>
      <c r="AO10" s="88">
        <v>0.99004983374916811</v>
      </c>
      <c r="AP10" s="88">
        <v>0.97044553354850815</v>
      </c>
      <c r="AQ10" s="89">
        <v>0.39960000000000001</v>
      </c>
      <c r="AR10" s="89">
        <v>0.41853259769839135</v>
      </c>
      <c r="AS10" s="89">
        <v>0.6563897729952417</v>
      </c>
      <c r="AT10" s="89">
        <v>0.82201182339796242</v>
      </c>
      <c r="AU10" s="89">
        <v>0.88603351628044036</v>
      </c>
      <c r="AV10" s="89">
        <v>0.94082276905066442</v>
      </c>
      <c r="AW10" s="89">
        <v>0.9841268276634596</v>
      </c>
      <c r="AX10" s="89">
        <v>0.999</v>
      </c>
      <c r="AY10" s="89">
        <v>0.98905978391541893</v>
      </c>
      <c r="AZ10" s="89">
        <v>0.96947508801495963</v>
      </c>
      <c r="BA10" s="67">
        <v>0.39960000000000001</v>
      </c>
      <c r="BB10" s="67">
        <v>0.41853259769839135</v>
      </c>
      <c r="BC10" s="67">
        <v>0.6563897729952417</v>
      </c>
      <c r="BD10" s="67">
        <v>0.82201182339796242</v>
      </c>
      <c r="BE10" s="67">
        <v>0.88603351628044036</v>
      </c>
      <c r="BF10" s="67">
        <v>0.94082276905066442</v>
      </c>
      <c r="BG10" s="67">
        <v>0.9841268276634596</v>
      </c>
      <c r="BH10" s="67">
        <v>0.999</v>
      </c>
      <c r="BI10" s="67">
        <v>0.98905978391541893</v>
      </c>
      <c r="BJ10" s="90">
        <v>0.96947508801495963</v>
      </c>
      <c r="BL10" s="75"/>
    </row>
    <row r="11" spans="1:64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87">
        <v>0.4</v>
      </c>
      <c r="AH11" s="88">
        <v>0.4</v>
      </c>
      <c r="AI11" s="88">
        <v>0.56552543869953709</v>
      </c>
      <c r="AJ11" s="88">
        <v>0.76337949433685315</v>
      </c>
      <c r="AK11" s="88">
        <v>0.8436648165963837</v>
      </c>
      <c r="AL11" s="88">
        <v>0.91393118527122819</v>
      </c>
      <c r="AM11" s="88">
        <v>0.97044553354850815</v>
      </c>
      <c r="AN11" s="88">
        <v>0.99004983374916811</v>
      </c>
      <c r="AO11" s="88">
        <v>1</v>
      </c>
      <c r="AP11" s="88">
        <v>0.98511193960306265</v>
      </c>
      <c r="AQ11" s="89">
        <v>0.39960000000000001</v>
      </c>
      <c r="AR11" s="89">
        <v>0.39960000000000001</v>
      </c>
      <c r="AS11" s="89">
        <v>0.5649599132608375</v>
      </c>
      <c r="AT11" s="89">
        <v>0.76261611484251635</v>
      </c>
      <c r="AU11" s="89">
        <v>0.84282115177978734</v>
      </c>
      <c r="AV11" s="89">
        <v>0.91301725408595691</v>
      </c>
      <c r="AW11" s="89">
        <v>0.96947508801495963</v>
      </c>
      <c r="AX11" s="89">
        <v>0.98905978391541893</v>
      </c>
      <c r="AY11" s="89">
        <v>0.999</v>
      </c>
      <c r="AZ11" s="89">
        <v>0.9841268276634596</v>
      </c>
      <c r="BA11" s="67">
        <v>0.39960000000000001</v>
      </c>
      <c r="BB11" s="67">
        <v>0.39960000000000001</v>
      </c>
      <c r="BC11" s="67">
        <v>0.5649599132608375</v>
      </c>
      <c r="BD11" s="67">
        <v>0.76261611484251635</v>
      </c>
      <c r="BE11" s="67">
        <v>0.84282115177978734</v>
      </c>
      <c r="BF11" s="67">
        <v>0.91301725408595691</v>
      </c>
      <c r="BG11" s="67">
        <v>0.96947508801495963</v>
      </c>
      <c r="BH11" s="67">
        <v>0.98905978391541893</v>
      </c>
      <c r="BI11" s="67">
        <v>0.999</v>
      </c>
      <c r="BJ11" s="90">
        <v>0.9841268276634596</v>
      </c>
      <c r="BL11" s="75"/>
    </row>
    <row r="12" spans="1:64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87">
        <v>0.4</v>
      </c>
      <c r="AH12" s="88">
        <v>0.4</v>
      </c>
      <c r="AI12" s="88">
        <v>0.418951549247639</v>
      </c>
      <c r="AJ12" s="88">
        <v>0.65704681981505675</v>
      </c>
      <c r="AK12" s="88">
        <v>0.76337949433685326</v>
      </c>
      <c r="AL12" s="88">
        <v>0.86070797642505781</v>
      </c>
      <c r="AM12" s="88">
        <v>0.94176453358424872</v>
      </c>
      <c r="AN12" s="88">
        <v>0.97044553354850815</v>
      </c>
      <c r="AO12" s="88">
        <v>0.98511193960306265</v>
      </c>
      <c r="AP12" s="88">
        <v>1</v>
      </c>
      <c r="AQ12" s="89">
        <v>0.39960000000000001</v>
      </c>
      <c r="AR12" s="89">
        <v>0.39960000000000001</v>
      </c>
      <c r="AS12" s="89">
        <v>0.41853259769839135</v>
      </c>
      <c r="AT12" s="89">
        <v>0.6563897729952417</v>
      </c>
      <c r="AU12" s="89">
        <v>0.76261611484251646</v>
      </c>
      <c r="AV12" s="89">
        <v>0.8598472684486328</v>
      </c>
      <c r="AW12" s="89">
        <v>0.94082276905066442</v>
      </c>
      <c r="AX12" s="89">
        <v>0.96947508801495963</v>
      </c>
      <c r="AY12" s="89">
        <v>0.9841268276634596</v>
      </c>
      <c r="AZ12" s="89">
        <v>0.999</v>
      </c>
      <c r="BA12" s="67">
        <v>0.39960000000000001</v>
      </c>
      <c r="BB12" s="67">
        <v>0.39960000000000001</v>
      </c>
      <c r="BC12" s="67">
        <v>0.41853259769839135</v>
      </c>
      <c r="BD12" s="67">
        <v>0.6563897729952417</v>
      </c>
      <c r="BE12" s="67">
        <v>0.76261611484251646</v>
      </c>
      <c r="BF12" s="67">
        <v>0.8598472684486328</v>
      </c>
      <c r="BG12" s="67">
        <v>0.94082276905066442</v>
      </c>
      <c r="BH12" s="67">
        <v>0.96947508801495963</v>
      </c>
      <c r="BI12" s="67">
        <v>0.9841268276634596</v>
      </c>
      <c r="BJ12" s="90">
        <v>0.999</v>
      </c>
      <c r="BL12" s="75"/>
    </row>
    <row r="13" spans="1:64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91">
        <v>0.999</v>
      </c>
      <c r="AH13" s="89">
        <v>0.96947508801495963</v>
      </c>
      <c r="AI13" s="89">
        <v>0.91301725408595691</v>
      </c>
      <c r="AJ13" s="89">
        <v>0.80977366172421694</v>
      </c>
      <c r="AK13" s="89">
        <v>0.71820480969849421</v>
      </c>
      <c r="AL13" s="89">
        <v>0.5649599132608375</v>
      </c>
      <c r="AM13" s="89">
        <v>0.39960000000000001</v>
      </c>
      <c r="AN13" s="89">
        <v>0.39960000000000001</v>
      </c>
      <c r="AO13" s="89">
        <v>0.39960000000000001</v>
      </c>
      <c r="AP13" s="89">
        <v>0.39960000000000001</v>
      </c>
      <c r="AQ13" s="92">
        <v>1</v>
      </c>
      <c r="AR13" s="92">
        <v>0.97044553354850815</v>
      </c>
      <c r="AS13" s="92">
        <v>0.91393118527122819</v>
      </c>
      <c r="AT13" s="92">
        <v>0.81058424597018708</v>
      </c>
      <c r="AU13" s="92">
        <v>0.71892373343192617</v>
      </c>
      <c r="AV13" s="92">
        <v>0.56552543869953709</v>
      </c>
      <c r="AW13" s="92">
        <v>0.4</v>
      </c>
      <c r="AX13" s="92">
        <v>0.4</v>
      </c>
      <c r="AY13" s="92">
        <v>0.4</v>
      </c>
      <c r="AZ13" s="92">
        <v>0.4</v>
      </c>
      <c r="BA13" s="89">
        <v>0.999</v>
      </c>
      <c r="BB13" s="89">
        <v>0.96947508801495963</v>
      </c>
      <c r="BC13" s="89">
        <v>0.91301725408595691</v>
      </c>
      <c r="BD13" s="89">
        <v>0.80977366172421694</v>
      </c>
      <c r="BE13" s="89">
        <v>0.71820480969849421</v>
      </c>
      <c r="BF13" s="89">
        <v>0.5649599132608375</v>
      </c>
      <c r="BG13" s="89">
        <v>0.39960000000000001</v>
      </c>
      <c r="BH13" s="89">
        <v>0.39960000000000001</v>
      </c>
      <c r="BI13" s="89">
        <v>0.39960000000000001</v>
      </c>
      <c r="BJ13" s="93">
        <v>0.39960000000000001</v>
      </c>
      <c r="BL13" s="75"/>
    </row>
    <row r="14" spans="1:64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91">
        <v>0.96947508801495963</v>
      </c>
      <c r="AH14" s="89">
        <v>0.999</v>
      </c>
      <c r="AI14" s="89">
        <v>0.96947508801495963</v>
      </c>
      <c r="AJ14" s="89">
        <v>0.91301725408595691</v>
      </c>
      <c r="AK14" s="89">
        <v>0.8598472684486328</v>
      </c>
      <c r="AL14" s="89">
        <v>0.76261611484251635</v>
      </c>
      <c r="AM14" s="89">
        <v>0.5649599132608375</v>
      </c>
      <c r="AN14" s="89">
        <v>0.41853259769839135</v>
      </c>
      <c r="AO14" s="89">
        <v>0.39960000000000001</v>
      </c>
      <c r="AP14" s="89">
        <v>0.39960000000000001</v>
      </c>
      <c r="AQ14" s="92">
        <v>0.97044553354850815</v>
      </c>
      <c r="AR14" s="92">
        <v>1</v>
      </c>
      <c r="AS14" s="92">
        <v>0.97044553354850815</v>
      </c>
      <c r="AT14" s="92">
        <v>0.91393118527122819</v>
      </c>
      <c r="AU14" s="92">
        <v>0.86070797642505781</v>
      </c>
      <c r="AV14" s="92">
        <v>0.76337949433685315</v>
      </c>
      <c r="AW14" s="92">
        <v>0.56552543869953709</v>
      </c>
      <c r="AX14" s="92">
        <v>0.418951549247639</v>
      </c>
      <c r="AY14" s="92">
        <v>0.4</v>
      </c>
      <c r="AZ14" s="92">
        <v>0.4</v>
      </c>
      <c r="BA14" s="89">
        <v>0.96947508801495963</v>
      </c>
      <c r="BB14" s="89">
        <v>0.999</v>
      </c>
      <c r="BC14" s="89">
        <v>0.96947508801495963</v>
      </c>
      <c r="BD14" s="89">
        <v>0.91301725408595691</v>
      </c>
      <c r="BE14" s="89">
        <v>0.8598472684486328</v>
      </c>
      <c r="BF14" s="89">
        <v>0.76261611484251635</v>
      </c>
      <c r="BG14" s="89">
        <v>0.5649599132608375</v>
      </c>
      <c r="BH14" s="89">
        <v>0.41853259769839135</v>
      </c>
      <c r="BI14" s="89">
        <v>0.39960000000000001</v>
      </c>
      <c r="BJ14" s="93">
        <v>0.39960000000000001</v>
      </c>
      <c r="BL14" s="75"/>
    </row>
    <row r="15" spans="1:64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91">
        <v>0.91301725408595691</v>
      </c>
      <c r="AH15" s="89">
        <v>0.96947508801495963</v>
      </c>
      <c r="AI15" s="89">
        <v>0.999</v>
      </c>
      <c r="AJ15" s="89">
        <v>0.96947508801495963</v>
      </c>
      <c r="AK15" s="89">
        <v>0.94082276905066442</v>
      </c>
      <c r="AL15" s="89">
        <v>0.88603351628044036</v>
      </c>
      <c r="AM15" s="89">
        <v>0.76261611484251635</v>
      </c>
      <c r="AN15" s="89">
        <v>0.6563897729952417</v>
      </c>
      <c r="AO15" s="89">
        <v>0.5649599132608375</v>
      </c>
      <c r="AP15" s="89">
        <v>0.41853259769839135</v>
      </c>
      <c r="AQ15" s="92">
        <v>0.91393118527122819</v>
      </c>
      <c r="AR15" s="92">
        <v>0.97044553354850815</v>
      </c>
      <c r="AS15" s="92">
        <v>1</v>
      </c>
      <c r="AT15" s="92">
        <v>0.97044553354850815</v>
      </c>
      <c r="AU15" s="92">
        <v>0.94176453358424872</v>
      </c>
      <c r="AV15" s="92">
        <v>0.88692043671715748</v>
      </c>
      <c r="AW15" s="92">
        <v>0.76337949433685315</v>
      </c>
      <c r="AX15" s="92">
        <v>0.65704681981505675</v>
      </c>
      <c r="AY15" s="92">
        <v>0.56552543869953709</v>
      </c>
      <c r="AZ15" s="92">
        <v>0.418951549247639</v>
      </c>
      <c r="BA15" s="89">
        <v>0.91301725408595691</v>
      </c>
      <c r="BB15" s="89">
        <v>0.96947508801495963</v>
      </c>
      <c r="BC15" s="89">
        <v>0.999</v>
      </c>
      <c r="BD15" s="89">
        <v>0.96947508801495963</v>
      </c>
      <c r="BE15" s="89">
        <v>0.94082276905066442</v>
      </c>
      <c r="BF15" s="89">
        <v>0.88603351628044036</v>
      </c>
      <c r="BG15" s="89">
        <v>0.76261611484251635</v>
      </c>
      <c r="BH15" s="89">
        <v>0.6563897729952417</v>
      </c>
      <c r="BI15" s="89">
        <v>0.5649599132608375</v>
      </c>
      <c r="BJ15" s="93">
        <v>0.41853259769839135</v>
      </c>
      <c r="BL15" s="75"/>
    </row>
    <row r="16" spans="1:64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91">
        <v>0.80977366172421694</v>
      </c>
      <c r="AH16" s="89">
        <v>0.91301725408595691</v>
      </c>
      <c r="AI16" s="89">
        <v>0.96947508801495963</v>
      </c>
      <c r="AJ16" s="89">
        <v>0.999</v>
      </c>
      <c r="AK16" s="89">
        <v>0.9841268276634596</v>
      </c>
      <c r="AL16" s="89">
        <v>0.9550414843512669</v>
      </c>
      <c r="AM16" s="89">
        <v>0.88603351628044036</v>
      </c>
      <c r="AN16" s="89">
        <v>0.82201182339796242</v>
      </c>
      <c r="AO16" s="89">
        <v>0.76261611484251635</v>
      </c>
      <c r="AP16" s="89">
        <v>0.6563897729952417</v>
      </c>
      <c r="AQ16" s="92">
        <v>0.81058424597018708</v>
      </c>
      <c r="AR16" s="92">
        <v>0.91393118527122819</v>
      </c>
      <c r="AS16" s="92">
        <v>0.97044553354850815</v>
      </c>
      <c r="AT16" s="92">
        <v>1</v>
      </c>
      <c r="AU16" s="92">
        <v>0.98511193960306265</v>
      </c>
      <c r="AV16" s="92">
        <v>0.95599748183309996</v>
      </c>
      <c r="AW16" s="92">
        <v>0.88692043671715748</v>
      </c>
      <c r="AX16" s="92">
        <v>0.82283465805601841</v>
      </c>
      <c r="AY16" s="92">
        <v>0.76337949433685315</v>
      </c>
      <c r="AZ16" s="92">
        <v>0.65704681981505675</v>
      </c>
      <c r="BA16" s="89">
        <v>0.80977366172421694</v>
      </c>
      <c r="BB16" s="89">
        <v>0.91301725408595691</v>
      </c>
      <c r="BC16" s="89">
        <v>0.96947508801495963</v>
      </c>
      <c r="BD16" s="89">
        <v>0.999</v>
      </c>
      <c r="BE16" s="89">
        <v>0.9841268276634596</v>
      </c>
      <c r="BF16" s="89">
        <v>0.9550414843512669</v>
      </c>
      <c r="BG16" s="89">
        <v>0.88603351628044036</v>
      </c>
      <c r="BH16" s="89">
        <v>0.82201182339796242</v>
      </c>
      <c r="BI16" s="89">
        <v>0.76261611484251635</v>
      </c>
      <c r="BJ16" s="93">
        <v>0.6563897729952417</v>
      </c>
      <c r="BL16" s="75"/>
    </row>
    <row r="17" spans="1:64">
      <c r="A17" s="75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91">
        <v>0.71820480969849421</v>
      </c>
      <c r="AH17" s="89">
        <v>0.8598472684486328</v>
      </c>
      <c r="AI17" s="89">
        <v>0.94082276905066442</v>
      </c>
      <c r="AJ17" s="89">
        <v>0.9841268276634596</v>
      </c>
      <c r="AK17" s="89">
        <v>0.999</v>
      </c>
      <c r="AL17" s="89">
        <v>0.97921847463344847</v>
      </c>
      <c r="AM17" s="89">
        <v>0.93146142608604232</v>
      </c>
      <c r="AN17" s="89">
        <v>0.88603351628044036</v>
      </c>
      <c r="AO17" s="89">
        <v>0.84282115177978734</v>
      </c>
      <c r="AP17" s="89">
        <v>0.76261611484251646</v>
      </c>
      <c r="AQ17" s="92">
        <v>0.71892373343192617</v>
      </c>
      <c r="AR17" s="92">
        <v>0.86070797642505781</v>
      </c>
      <c r="AS17" s="92">
        <v>0.94176453358424872</v>
      </c>
      <c r="AT17" s="92">
        <v>0.98511193960306265</v>
      </c>
      <c r="AU17" s="92">
        <v>1</v>
      </c>
      <c r="AV17" s="92">
        <v>0.98019867330675525</v>
      </c>
      <c r="AW17" s="92">
        <v>0.93239381990594827</v>
      </c>
      <c r="AX17" s="92">
        <v>0.88692043671715748</v>
      </c>
      <c r="AY17" s="92">
        <v>0.8436648165963837</v>
      </c>
      <c r="AZ17" s="92">
        <v>0.76337949433685326</v>
      </c>
      <c r="BA17" s="89">
        <v>0.71820480969849421</v>
      </c>
      <c r="BB17" s="89">
        <v>0.8598472684486328</v>
      </c>
      <c r="BC17" s="89">
        <v>0.94082276905066442</v>
      </c>
      <c r="BD17" s="89">
        <v>0.9841268276634596</v>
      </c>
      <c r="BE17" s="89">
        <v>0.999</v>
      </c>
      <c r="BF17" s="89">
        <v>0.97921847463344847</v>
      </c>
      <c r="BG17" s="89">
        <v>0.93146142608604232</v>
      </c>
      <c r="BH17" s="89">
        <v>0.88603351628044036</v>
      </c>
      <c r="BI17" s="89">
        <v>0.84282115177978734</v>
      </c>
      <c r="BJ17" s="93">
        <v>0.76261611484251646</v>
      </c>
      <c r="BL17" s="75"/>
    </row>
    <row r="18" spans="1:64" ht="16" thickBot="1">
      <c r="A18" s="75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91">
        <v>0.5649599132608375</v>
      </c>
      <c r="AH18" s="89">
        <v>0.76261611484251635</v>
      </c>
      <c r="AI18" s="89">
        <v>0.88603351628044036</v>
      </c>
      <c r="AJ18" s="89">
        <v>0.9550414843512669</v>
      </c>
      <c r="AK18" s="89">
        <v>0.97921847463344847</v>
      </c>
      <c r="AL18" s="89">
        <v>0.999</v>
      </c>
      <c r="AM18" s="89">
        <v>0.96947508801495963</v>
      </c>
      <c r="AN18" s="89">
        <v>0.94082276905066442</v>
      </c>
      <c r="AO18" s="89">
        <v>0.91301725408595691</v>
      </c>
      <c r="AP18" s="89">
        <v>0.8598472684486328</v>
      </c>
      <c r="AQ18" s="92">
        <v>0.56552543869953709</v>
      </c>
      <c r="AR18" s="92">
        <v>0.76337949433685315</v>
      </c>
      <c r="AS18" s="92">
        <v>0.88692043671715748</v>
      </c>
      <c r="AT18" s="92">
        <v>0.95599748183309996</v>
      </c>
      <c r="AU18" s="92">
        <v>0.98019867330675525</v>
      </c>
      <c r="AV18" s="92">
        <v>1</v>
      </c>
      <c r="AW18" s="92">
        <v>0.97044553354850815</v>
      </c>
      <c r="AX18" s="92">
        <v>0.94176453358424872</v>
      </c>
      <c r="AY18" s="92">
        <v>0.91393118527122819</v>
      </c>
      <c r="AZ18" s="92">
        <v>0.86070797642505781</v>
      </c>
      <c r="BA18" s="89">
        <v>0.5649599132608375</v>
      </c>
      <c r="BB18" s="89">
        <v>0.76261611484251635</v>
      </c>
      <c r="BC18" s="89">
        <v>0.88603351628044036</v>
      </c>
      <c r="BD18" s="89">
        <v>0.9550414843512669</v>
      </c>
      <c r="BE18" s="89">
        <v>0.97921847463344847</v>
      </c>
      <c r="BF18" s="89">
        <v>0.999</v>
      </c>
      <c r="BG18" s="89">
        <v>0.96947508801495963</v>
      </c>
      <c r="BH18" s="89">
        <v>0.94082276905066442</v>
      </c>
      <c r="BI18" s="89">
        <v>0.91301725408595691</v>
      </c>
      <c r="BJ18" s="93">
        <v>0.8598472684486328</v>
      </c>
      <c r="BL18" s="75"/>
    </row>
    <row r="19" spans="1:64" ht="16" thickBot="1">
      <c r="A19" s="75"/>
      <c r="B19" s="75"/>
      <c r="C19" s="146" t="s">
        <v>18</v>
      </c>
      <c r="D19" s="165" t="s">
        <v>19</v>
      </c>
      <c r="E19" s="165" t="s">
        <v>20</v>
      </c>
      <c r="F19" s="165" t="s">
        <v>66</v>
      </c>
      <c r="G19" s="165" t="s">
        <v>67</v>
      </c>
      <c r="H19" s="162" t="s">
        <v>54</v>
      </c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91">
        <v>0.39960000000000001</v>
      </c>
      <c r="AH19" s="89">
        <v>0.5649599132608375</v>
      </c>
      <c r="AI19" s="89">
        <v>0.76261611484251635</v>
      </c>
      <c r="AJ19" s="89">
        <v>0.88603351628044036</v>
      </c>
      <c r="AK19" s="89">
        <v>0.93146142608604232</v>
      </c>
      <c r="AL19" s="89">
        <v>0.96947508801495963</v>
      </c>
      <c r="AM19" s="89">
        <v>0.999</v>
      </c>
      <c r="AN19" s="89">
        <v>0.9841268276634596</v>
      </c>
      <c r="AO19" s="89">
        <v>0.96947508801495963</v>
      </c>
      <c r="AP19" s="89">
        <v>0.94082276905066442</v>
      </c>
      <c r="AQ19" s="92">
        <v>0.4</v>
      </c>
      <c r="AR19" s="92">
        <v>0.56552543869953709</v>
      </c>
      <c r="AS19" s="92">
        <v>0.76337949433685315</v>
      </c>
      <c r="AT19" s="92">
        <v>0.88692043671715748</v>
      </c>
      <c r="AU19" s="92">
        <v>0.93239381990594827</v>
      </c>
      <c r="AV19" s="92">
        <v>0.97044553354850815</v>
      </c>
      <c r="AW19" s="92">
        <v>1</v>
      </c>
      <c r="AX19" s="92">
        <v>0.98511193960306265</v>
      </c>
      <c r="AY19" s="92">
        <v>0.97044553354850815</v>
      </c>
      <c r="AZ19" s="92">
        <v>0.94176453358424872</v>
      </c>
      <c r="BA19" s="89">
        <v>0.39960000000000001</v>
      </c>
      <c r="BB19" s="89">
        <v>0.5649599132608375</v>
      </c>
      <c r="BC19" s="89">
        <v>0.76261611484251635</v>
      </c>
      <c r="BD19" s="89">
        <v>0.88603351628044036</v>
      </c>
      <c r="BE19" s="89">
        <v>0.93146142608604232</v>
      </c>
      <c r="BF19" s="89">
        <v>0.96947508801495963</v>
      </c>
      <c r="BG19" s="89">
        <v>0.999</v>
      </c>
      <c r="BH19" s="89">
        <v>0.9841268276634596</v>
      </c>
      <c r="BI19" s="89">
        <v>0.96947508801495963</v>
      </c>
      <c r="BJ19" s="93">
        <v>0.94082276905066442</v>
      </c>
      <c r="BL19" s="75"/>
    </row>
    <row r="20" spans="1:64">
      <c r="A20" s="75"/>
      <c r="B20" s="163" t="s">
        <v>17</v>
      </c>
      <c r="C20" s="177">
        <v>0</v>
      </c>
      <c r="D20" s="177">
        <v>0</v>
      </c>
      <c r="E20" s="178">
        <f>MAX(C20,D20)</f>
        <v>0</v>
      </c>
      <c r="F20" s="94">
        <f>SUM(B3:AE3)</f>
        <v>-1101351.3020353748</v>
      </c>
      <c r="G20" s="159">
        <f>SUM(B8:AE8)</f>
        <v>-1300006.1065820442</v>
      </c>
      <c r="H20" s="173">
        <f>IF(C20&gt;=D20, F20,G20)</f>
        <v>-1101351.3020353748</v>
      </c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91">
        <v>0.39960000000000001</v>
      </c>
      <c r="AH20" s="89">
        <v>0.41853259769839135</v>
      </c>
      <c r="AI20" s="89">
        <v>0.6563897729952417</v>
      </c>
      <c r="AJ20" s="89">
        <v>0.82201182339796242</v>
      </c>
      <c r="AK20" s="89">
        <v>0.88603351628044036</v>
      </c>
      <c r="AL20" s="89">
        <v>0.94082276905066442</v>
      </c>
      <c r="AM20" s="89">
        <v>0.9841268276634596</v>
      </c>
      <c r="AN20" s="89">
        <v>0.999</v>
      </c>
      <c r="AO20" s="89">
        <v>0.98905978391541893</v>
      </c>
      <c r="AP20" s="89">
        <v>0.96947508801495963</v>
      </c>
      <c r="AQ20" s="92">
        <v>0.4</v>
      </c>
      <c r="AR20" s="92">
        <v>0.418951549247639</v>
      </c>
      <c r="AS20" s="92">
        <v>0.65704681981505675</v>
      </c>
      <c r="AT20" s="92">
        <v>0.82283465805601841</v>
      </c>
      <c r="AU20" s="92">
        <v>0.88692043671715748</v>
      </c>
      <c r="AV20" s="92">
        <v>0.94176453358424872</v>
      </c>
      <c r="AW20" s="92">
        <v>0.98511193960306265</v>
      </c>
      <c r="AX20" s="92">
        <v>1</v>
      </c>
      <c r="AY20" s="92">
        <v>0.99004983374916811</v>
      </c>
      <c r="AZ20" s="92">
        <v>0.97044553354850815</v>
      </c>
      <c r="BA20" s="89">
        <v>0.39960000000000001</v>
      </c>
      <c r="BB20" s="89">
        <v>0.41853259769839135</v>
      </c>
      <c r="BC20" s="89">
        <v>0.6563897729952417</v>
      </c>
      <c r="BD20" s="89">
        <v>0.82201182339796242</v>
      </c>
      <c r="BE20" s="89">
        <v>0.88603351628044036</v>
      </c>
      <c r="BF20" s="89">
        <v>0.94082276905066442</v>
      </c>
      <c r="BG20" s="89">
        <v>0.9841268276634596</v>
      </c>
      <c r="BH20" s="89">
        <v>0.999</v>
      </c>
      <c r="BI20" s="89">
        <v>0.98905978391541893</v>
      </c>
      <c r="BJ20" s="93">
        <v>0.96947508801495963</v>
      </c>
      <c r="BL20" s="75"/>
    </row>
    <row r="21" spans="1:64">
      <c r="A21" s="75"/>
      <c r="B21" s="176" t="s">
        <v>21</v>
      </c>
      <c r="C21" s="94">
        <v>0</v>
      </c>
      <c r="D21" s="94">
        <v>0</v>
      </c>
      <c r="E21" s="173">
        <f t="shared" ref="E21:E22" si="1">MAX(C21,D21)</f>
        <v>0</v>
      </c>
      <c r="F21" s="94">
        <f>F20</f>
        <v>-1101351.3020353748</v>
      </c>
      <c r="G21" s="159">
        <f>G20</f>
        <v>-1300006.1065820442</v>
      </c>
      <c r="H21" s="173">
        <f>IF(C21&gt;=D21, F21,G21)</f>
        <v>-1101351.3020353748</v>
      </c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91">
        <v>0.39960000000000001</v>
      </c>
      <c r="AH21" s="89">
        <v>0.39960000000000001</v>
      </c>
      <c r="AI21" s="89">
        <v>0.5649599132608375</v>
      </c>
      <c r="AJ21" s="89">
        <v>0.76261611484251635</v>
      </c>
      <c r="AK21" s="89">
        <v>0.84282115177978734</v>
      </c>
      <c r="AL21" s="89">
        <v>0.91301725408595691</v>
      </c>
      <c r="AM21" s="89">
        <v>0.96947508801495963</v>
      </c>
      <c r="AN21" s="89">
        <v>0.98905978391541893</v>
      </c>
      <c r="AO21" s="89">
        <v>0.999</v>
      </c>
      <c r="AP21" s="89">
        <v>0.9841268276634596</v>
      </c>
      <c r="AQ21" s="92">
        <v>0.4</v>
      </c>
      <c r="AR21" s="92">
        <v>0.4</v>
      </c>
      <c r="AS21" s="92">
        <v>0.56552543869953709</v>
      </c>
      <c r="AT21" s="92">
        <v>0.76337949433685315</v>
      </c>
      <c r="AU21" s="92">
        <v>0.8436648165963837</v>
      </c>
      <c r="AV21" s="92">
        <v>0.91393118527122819</v>
      </c>
      <c r="AW21" s="92">
        <v>0.97044553354850815</v>
      </c>
      <c r="AX21" s="92">
        <v>0.99004983374916811</v>
      </c>
      <c r="AY21" s="92">
        <v>1</v>
      </c>
      <c r="AZ21" s="92">
        <v>0.98511193960306265</v>
      </c>
      <c r="BA21" s="89">
        <v>0.39960000000000001</v>
      </c>
      <c r="BB21" s="89">
        <v>0.39960000000000001</v>
      </c>
      <c r="BC21" s="89">
        <v>0.5649599132608375</v>
      </c>
      <c r="BD21" s="89">
        <v>0.76261611484251635</v>
      </c>
      <c r="BE21" s="89">
        <v>0.84282115177978734</v>
      </c>
      <c r="BF21" s="89">
        <v>0.91301725408595691</v>
      </c>
      <c r="BG21" s="89">
        <v>0.96947508801495963</v>
      </c>
      <c r="BH21" s="89">
        <v>0.98905978391541893</v>
      </c>
      <c r="BI21" s="89">
        <v>0.999</v>
      </c>
      <c r="BJ21" s="93">
        <v>0.9841268276634596</v>
      </c>
      <c r="BL21" s="75"/>
    </row>
    <row r="22" spans="1:64" ht="16" thickBot="1">
      <c r="A22" s="75"/>
      <c r="B22" s="164" t="s">
        <v>22</v>
      </c>
      <c r="C22" s="175">
        <v>0</v>
      </c>
      <c r="D22" s="175">
        <v>0</v>
      </c>
      <c r="E22" s="174">
        <f t="shared" si="1"/>
        <v>0</v>
      </c>
      <c r="F22" s="175">
        <f>F20</f>
        <v>-1101351.3020353748</v>
      </c>
      <c r="G22" s="160">
        <f>G20</f>
        <v>-1300006.1065820442</v>
      </c>
      <c r="H22" s="174">
        <f>IF(C22&gt;=D22, F22,G22)</f>
        <v>-1101351.3020353748</v>
      </c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91">
        <v>0.39960000000000001</v>
      </c>
      <c r="AH22" s="89">
        <v>0.39960000000000001</v>
      </c>
      <c r="AI22" s="89">
        <v>0.41853259769839135</v>
      </c>
      <c r="AJ22" s="89">
        <v>0.6563897729952417</v>
      </c>
      <c r="AK22" s="89">
        <v>0.76261611484251646</v>
      </c>
      <c r="AL22" s="89">
        <v>0.8598472684486328</v>
      </c>
      <c r="AM22" s="89">
        <v>0.94082276905066442</v>
      </c>
      <c r="AN22" s="89">
        <v>0.96947508801495963</v>
      </c>
      <c r="AO22" s="89">
        <v>0.9841268276634596</v>
      </c>
      <c r="AP22" s="89">
        <v>0.999</v>
      </c>
      <c r="AQ22" s="92">
        <v>0.4</v>
      </c>
      <c r="AR22" s="92">
        <v>0.4</v>
      </c>
      <c r="AS22" s="92">
        <v>0.418951549247639</v>
      </c>
      <c r="AT22" s="92">
        <v>0.65704681981505675</v>
      </c>
      <c r="AU22" s="92">
        <v>0.76337949433685326</v>
      </c>
      <c r="AV22" s="92">
        <v>0.86070797642505781</v>
      </c>
      <c r="AW22" s="92">
        <v>0.94176453358424872</v>
      </c>
      <c r="AX22" s="92">
        <v>0.97044553354850815</v>
      </c>
      <c r="AY22" s="92">
        <v>0.98511193960306265</v>
      </c>
      <c r="AZ22" s="92">
        <v>1</v>
      </c>
      <c r="BA22" s="89">
        <v>0.39960000000000001</v>
      </c>
      <c r="BB22" s="89">
        <v>0.39960000000000001</v>
      </c>
      <c r="BC22" s="89">
        <v>0.41853259769839135</v>
      </c>
      <c r="BD22" s="89">
        <v>0.6563897729952417</v>
      </c>
      <c r="BE22" s="89">
        <v>0.76261611484251646</v>
      </c>
      <c r="BF22" s="89">
        <v>0.8598472684486328</v>
      </c>
      <c r="BG22" s="89">
        <v>0.94082276905066442</v>
      </c>
      <c r="BH22" s="89">
        <v>0.96947508801495963</v>
      </c>
      <c r="BI22" s="89">
        <v>0.9841268276634596</v>
      </c>
      <c r="BJ22" s="93">
        <v>0.999</v>
      </c>
      <c r="BL22" s="75"/>
    </row>
    <row r="23" spans="1:64" ht="16" thickBot="1">
      <c r="B23" s="179" t="s">
        <v>23</v>
      </c>
      <c r="C23" s="161"/>
      <c r="D23" s="161"/>
      <c r="E23" s="143">
        <f>MAX(E20:E22)</f>
        <v>0</v>
      </c>
      <c r="AG23" s="98">
        <v>0.999</v>
      </c>
      <c r="AH23" s="67">
        <v>0.96947508801495963</v>
      </c>
      <c r="AI23" s="67">
        <v>0.91301725408595691</v>
      </c>
      <c r="AJ23" s="67">
        <v>0.80977366172421694</v>
      </c>
      <c r="AK23" s="67">
        <v>0.71820480969849421</v>
      </c>
      <c r="AL23" s="67">
        <v>0.5649599132608375</v>
      </c>
      <c r="AM23" s="67">
        <v>0.39960000000000001</v>
      </c>
      <c r="AN23" s="67">
        <v>0.39960000000000001</v>
      </c>
      <c r="AO23" s="67">
        <v>0.39960000000000001</v>
      </c>
      <c r="AP23" s="67">
        <v>0.39960000000000001</v>
      </c>
      <c r="AQ23" s="89">
        <v>0.999</v>
      </c>
      <c r="AR23" s="89">
        <v>0.96947508801495963</v>
      </c>
      <c r="AS23" s="89">
        <v>0.91301725408595691</v>
      </c>
      <c r="AT23" s="89">
        <v>0.80977366172421694</v>
      </c>
      <c r="AU23" s="89">
        <v>0.71820480969849421</v>
      </c>
      <c r="AV23" s="89">
        <v>0.5649599132608375</v>
      </c>
      <c r="AW23" s="89">
        <v>0.39960000000000001</v>
      </c>
      <c r="AX23" s="89">
        <v>0.39960000000000001</v>
      </c>
      <c r="AY23" s="89">
        <v>0.39960000000000001</v>
      </c>
      <c r="AZ23" s="89">
        <v>0.39960000000000001</v>
      </c>
      <c r="BA23" s="99">
        <v>1</v>
      </c>
      <c r="BB23" s="99">
        <v>0.97044553354850815</v>
      </c>
      <c r="BC23" s="99">
        <v>0.91393118527122819</v>
      </c>
      <c r="BD23" s="99">
        <v>0.81058424597018708</v>
      </c>
      <c r="BE23" s="99">
        <v>0.71892373343192617</v>
      </c>
      <c r="BF23" s="99">
        <v>0.56552543869953709</v>
      </c>
      <c r="BG23" s="99">
        <v>0.4</v>
      </c>
      <c r="BH23" s="99">
        <v>0.4</v>
      </c>
      <c r="BI23" s="99">
        <v>0.4</v>
      </c>
      <c r="BJ23" s="100">
        <v>0.4</v>
      </c>
      <c r="BL23" s="75"/>
    </row>
    <row r="24" spans="1:64">
      <c r="AG24" s="98">
        <v>0.96947508801495963</v>
      </c>
      <c r="AH24" s="67">
        <v>0.999</v>
      </c>
      <c r="AI24" s="67">
        <v>0.96947508801495963</v>
      </c>
      <c r="AJ24" s="67">
        <v>0.91301725408595691</v>
      </c>
      <c r="AK24" s="67">
        <v>0.8598472684486328</v>
      </c>
      <c r="AL24" s="67">
        <v>0.76261611484251635</v>
      </c>
      <c r="AM24" s="67">
        <v>0.5649599132608375</v>
      </c>
      <c r="AN24" s="67">
        <v>0.41853259769839135</v>
      </c>
      <c r="AO24" s="67">
        <v>0.39960000000000001</v>
      </c>
      <c r="AP24" s="67">
        <v>0.39960000000000001</v>
      </c>
      <c r="AQ24" s="101">
        <v>0.96947508801495963</v>
      </c>
      <c r="AR24" s="101">
        <v>0.999</v>
      </c>
      <c r="AS24" s="101">
        <v>0.96947508801495963</v>
      </c>
      <c r="AT24" s="101">
        <v>0.91301725408595691</v>
      </c>
      <c r="AU24" s="101">
        <v>0.8598472684486328</v>
      </c>
      <c r="AV24" s="101">
        <v>0.76261611484251635</v>
      </c>
      <c r="AW24" s="101">
        <v>0.5649599132608375</v>
      </c>
      <c r="AX24" s="101">
        <v>0.41853259769839135</v>
      </c>
      <c r="AY24" s="101">
        <v>0.39960000000000001</v>
      </c>
      <c r="AZ24" s="101">
        <v>0.39960000000000001</v>
      </c>
      <c r="BA24" s="99">
        <v>0.97044553354850815</v>
      </c>
      <c r="BB24" s="99">
        <v>1</v>
      </c>
      <c r="BC24" s="99">
        <v>0.97044553354850815</v>
      </c>
      <c r="BD24" s="99">
        <v>0.91393118527122819</v>
      </c>
      <c r="BE24" s="99">
        <v>0.86070797642505781</v>
      </c>
      <c r="BF24" s="99">
        <v>0.76337949433685315</v>
      </c>
      <c r="BG24" s="99">
        <v>0.56552543869953709</v>
      </c>
      <c r="BH24" s="99">
        <v>0.418951549247639</v>
      </c>
      <c r="BI24" s="99">
        <v>0.4</v>
      </c>
      <c r="BJ24" s="100">
        <v>0.4</v>
      </c>
      <c r="BL24" s="75"/>
    </row>
    <row r="25" spans="1:64">
      <c r="AG25" s="98">
        <v>0.91301725408595691</v>
      </c>
      <c r="AH25" s="67">
        <v>0.96947508801495963</v>
      </c>
      <c r="AI25" s="67">
        <v>0.999</v>
      </c>
      <c r="AJ25" s="67">
        <v>0.96947508801495963</v>
      </c>
      <c r="AK25" s="67">
        <v>0.94082276905066442</v>
      </c>
      <c r="AL25" s="67">
        <v>0.88603351628044036</v>
      </c>
      <c r="AM25" s="67">
        <v>0.76261611484251635</v>
      </c>
      <c r="AN25" s="67">
        <v>0.6563897729952417</v>
      </c>
      <c r="AO25" s="67">
        <v>0.5649599132608375</v>
      </c>
      <c r="AP25" s="67">
        <v>0.41853259769839135</v>
      </c>
      <c r="AQ25" s="89">
        <v>0.91301725408595691</v>
      </c>
      <c r="AR25" s="89">
        <v>0.96947508801495963</v>
      </c>
      <c r="AS25" s="89">
        <v>0.999</v>
      </c>
      <c r="AT25" s="89">
        <v>0.96947508801495963</v>
      </c>
      <c r="AU25" s="89">
        <v>0.94082276905066442</v>
      </c>
      <c r="AV25" s="89">
        <v>0.88603351628044036</v>
      </c>
      <c r="AW25" s="89">
        <v>0.76261611484251635</v>
      </c>
      <c r="AX25" s="89">
        <v>0.6563897729952417</v>
      </c>
      <c r="AY25" s="89">
        <v>0.5649599132608375</v>
      </c>
      <c r="AZ25" s="89">
        <v>0.41853259769839135</v>
      </c>
      <c r="BA25" s="99">
        <v>0.91393118527122819</v>
      </c>
      <c r="BB25" s="99">
        <v>0.97044553354850815</v>
      </c>
      <c r="BC25" s="99">
        <v>1</v>
      </c>
      <c r="BD25" s="99">
        <v>0.97044553354850815</v>
      </c>
      <c r="BE25" s="99">
        <v>0.94176453358424872</v>
      </c>
      <c r="BF25" s="99">
        <v>0.88692043671715748</v>
      </c>
      <c r="BG25" s="99">
        <v>0.76337949433685315</v>
      </c>
      <c r="BH25" s="99">
        <v>0.65704681981505675</v>
      </c>
      <c r="BI25" s="99">
        <v>0.56552543869953709</v>
      </c>
      <c r="BJ25" s="100">
        <v>0.418951549247639</v>
      </c>
      <c r="BL25" s="75"/>
    </row>
    <row r="26" spans="1:64">
      <c r="AG26" s="98">
        <v>0.80977366172421694</v>
      </c>
      <c r="AH26" s="67">
        <v>0.91301725408595691</v>
      </c>
      <c r="AI26" s="67">
        <v>0.96947508801495963</v>
      </c>
      <c r="AJ26" s="67">
        <v>0.999</v>
      </c>
      <c r="AK26" s="67">
        <v>0.9841268276634596</v>
      </c>
      <c r="AL26" s="67">
        <v>0.9550414843512669</v>
      </c>
      <c r="AM26" s="67">
        <v>0.88603351628044036</v>
      </c>
      <c r="AN26" s="67">
        <v>0.82201182339796242</v>
      </c>
      <c r="AO26" s="67">
        <v>0.76261611484251635</v>
      </c>
      <c r="AP26" s="67">
        <v>0.6563897729952417</v>
      </c>
      <c r="AQ26" s="89">
        <v>0.80977366172421694</v>
      </c>
      <c r="AR26" s="89">
        <v>0.91301725408595691</v>
      </c>
      <c r="AS26" s="89">
        <v>0.96947508801495963</v>
      </c>
      <c r="AT26" s="89">
        <v>0.999</v>
      </c>
      <c r="AU26" s="89">
        <v>0.9841268276634596</v>
      </c>
      <c r="AV26" s="89">
        <v>0.9550414843512669</v>
      </c>
      <c r="AW26" s="89">
        <v>0.88603351628044036</v>
      </c>
      <c r="AX26" s="89">
        <v>0.82201182339796242</v>
      </c>
      <c r="AY26" s="89">
        <v>0.76261611484251635</v>
      </c>
      <c r="AZ26" s="89">
        <v>0.6563897729952417</v>
      </c>
      <c r="BA26" s="99">
        <v>0.81058424597018708</v>
      </c>
      <c r="BB26" s="99">
        <v>0.91393118527122819</v>
      </c>
      <c r="BC26" s="99">
        <v>0.97044553354850815</v>
      </c>
      <c r="BD26" s="99">
        <v>1</v>
      </c>
      <c r="BE26" s="99">
        <v>0.98511193960306265</v>
      </c>
      <c r="BF26" s="99">
        <v>0.95599748183309996</v>
      </c>
      <c r="BG26" s="99">
        <v>0.88692043671715748</v>
      </c>
      <c r="BH26" s="99">
        <v>0.82283465805601841</v>
      </c>
      <c r="BI26" s="99">
        <v>0.76337949433685315</v>
      </c>
      <c r="BJ26" s="100">
        <v>0.65704681981505675</v>
      </c>
      <c r="BL26" s="75"/>
    </row>
    <row r="27" spans="1:64">
      <c r="AG27" s="98">
        <v>0.71820480969849421</v>
      </c>
      <c r="AH27" s="67">
        <v>0.8598472684486328</v>
      </c>
      <c r="AI27" s="67">
        <v>0.94082276905066442</v>
      </c>
      <c r="AJ27" s="67">
        <v>0.9841268276634596</v>
      </c>
      <c r="AK27" s="67">
        <v>0.999</v>
      </c>
      <c r="AL27" s="67">
        <v>0.97921847463344847</v>
      </c>
      <c r="AM27" s="67">
        <v>0.93146142608604232</v>
      </c>
      <c r="AN27" s="67">
        <v>0.88603351628044036</v>
      </c>
      <c r="AO27" s="67">
        <v>0.84282115177978734</v>
      </c>
      <c r="AP27" s="67">
        <v>0.76261611484251646</v>
      </c>
      <c r="AQ27" s="89">
        <v>0.71820480969849421</v>
      </c>
      <c r="AR27" s="89">
        <v>0.8598472684486328</v>
      </c>
      <c r="AS27" s="89">
        <v>0.94082276905066442</v>
      </c>
      <c r="AT27" s="89">
        <v>0.9841268276634596</v>
      </c>
      <c r="AU27" s="89">
        <v>0.999</v>
      </c>
      <c r="AV27" s="89">
        <v>0.97921847463344847</v>
      </c>
      <c r="AW27" s="89">
        <v>0.93146142608604232</v>
      </c>
      <c r="AX27" s="89">
        <v>0.88603351628044036</v>
      </c>
      <c r="AY27" s="89">
        <v>0.84282115177978734</v>
      </c>
      <c r="AZ27" s="89">
        <v>0.76261611484251646</v>
      </c>
      <c r="BA27" s="99">
        <v>0.71892373343192617</v>
      </c>
      <c r="BB27" s="99">
        <v>0.86070797642505781</v>
      </c>
      <c r="BC27" s="99">
        <v>0.94176453358424872</v>
      </c>
      <c r="BD27" s="99">
        <v>0.98511193960306265</v>
      </c>
      <c r="BE27" s="99">
        <v>1</v>
      </c>
      <c r="BF27" s="99">
        <v>0.98019867330675525</v>
      </c>
      <c r="BG27" s="99">
        <v>0.93239381990594827</v>
      </c>
      <c r="BH27" s="99">
        <v>0.88692043671715748</v>
      </c>
      <c r="BI27" s="99">
        <v>0.8436648165963837</v>
      </c>
      <c r="BJ27" s="100">
        <v>0.76337949433685326</v>
      </c>
      <c r="BL27" s="75"/>
    </row>
    <row r="28" spans="1:64">
      <c r="AG28" s="98">
        <v>0.5649599132608375</v>
      </c>
      <c r="AH28" s="67">
        <v>0.76261611484251635</v>
      </c>
      <c r="AI28" s="67">
        <v>0.88603351628044036</v>
      </c>
      <c r="AJ28" s="67">
        <v>0.9550414843512669</v>
      </c>
      <c r="AK28" s="67">
        <v>0.97921847463344847</v>
      </c>
      <c r="AL28" s="67">
        <v>0.999</v>
      </c>
      <c r="AM28" s="67">
        <v>0.96947508801495963</v>
      </c>
      <c r="AN28" s="67">
        <v>0.94082276905066442</v>
      </c>
      <c r="AO28" s="67">
        <v>0.91301725408595691</v>
      </c>
      <c r="AP28" s="67">
        <v>0.8598472684486328</v>
      </c>
      <c r="AQ28" s="89">
        <v>0.5649599132608375</v>
      </c>
      <c r="AR28" s="89">
        <v>0.76261611484251635</v>
      </c>
      <c r="AS28" s="89">
        <v>0.88603351628044036</v>
      </c>
      <c r="AT28" s="89">
        <v>0.9550414843512669</v>
      </c>
      <c r="AU28" s="89">
        <v>0.97921847463344847</v>
      </c>
      <c r="AV28" s="89">
        <v>0.999</v>
      </c>
      <c r="AW28" s="89">
        <v>0.96947508801495963</v>
      </c>
      <c r="AX28" s="89">
        <v>0.94082276905066442</v>
      </c>
      <c r="AY28" s="89">
        <v>0.91301725408595691</v>
      </c>
      <c r="AZ28" s="89">
        <v>0.8598472684486328</v>
      </c>
      <c r="BA28" s="99">
        <v>0.56552543869953709</v>
      </c>
      <c r="BB28" s="99">
        <v>0.76337949433685315</v>
      </c>
      <c r="BC28" s="99">
        <v>0.88692043671715748</v>
      </c>
      <c r="BD28" s="99">
        <v>0.95599748183309996</v>
      </c>
      <c r="BE28" s="99">
        <v>0.98019867330675525</v>
      </c>
      <c r="BF28" s="99">
        <v>1</v>
      </c>
      <c r="BG28" s="99">
        <v>0.97044553354850815</v>
      </c>
      <c r="BH28" s="99">
        <v>0.94176453358424872</v>
      </c>
      <c r="BI28" s="99">
        <v>0.91393118527122819</v>
      </c>
      <c r="BJ28" s="100">
        <v>0.86070797642505781</v>
      </c>
      <c r="BL28" s="75"/>
    </row>
    <row r="29" spans="1:64">
      <c r="AG29" s="98">
        <v>0.39960000000000001</v>
      </c>
      <c r="AH29" s="67">
        <v>0.5649599132608375</v>
      </c>
      <c r="AI29" s="67">
        <v>0.76261611484251635</v>
      </c>
      <c r="AJ29" s="67">
        <v>0.88603351628044036</v>
      </c>
      <c r="AK29" s="67">
        <v>0.93146142608604232</v>
      </c>
      <c r="AL29" s="67">
        <v>0.96947508801495963</v>
      </c>
      <c r="AM29" s="67">
        <v>0.999</v>
      </c>
      <c r="AN29" s="67">
        <v>0.9841268276634596</v>
      </c>
      <c r="AO29" s="67">
        <v>0.96947508801495963</v>
      </c>
      <c r="AP29" s="67">
        <v>0.94082276905066442</v>
      </c>
      <c r="AQ29" s="89">
        <v>0.39960000000000001</v>
      </c>
      <c r="AR29" s="89">
        <v>0.5649599132608375</v>
      </c>
      <c r="AS29" s="89">
        <v>0.76261611484251635</v>
      </c>
      <c r="AT29" s="89">
        <v>0.88603351628044036</v>
      </c>
      <c r="AU29" s="89">
        <v>0.93146142608604232</v>
      </c>
      <c r="AV29" s="89">
        <v>0.96947508801495963</v>
      </c>
      <c r="AW29" s="89">
        <v>0.999</v>
      </c>
      <c r="AX29" s="89">
        <v>0.9841268276634596</v>
      </c>
      <c r="AY29" s="89">
        <v>0.96947508801495963</v>
      </c>
      <c r="AZ29" s="89">
        <v>0.94082276905066442</v>
      </c>
      <c r="BA29" s="99">
        <v>0.4</v>
      </c>
      <c r="BB29" s="99">
        <v>0.56552543869953709</v>
      </c>
      <c r="BC29" s="99">
        <v>0.76337949433685315</v>
      </c>
      <c r="BD29" s="99">
        <v>0.88692043671715748</v>
      </c>
      <c r="BE29" s="99">
        <v>0.93239381990594827</v>
      </c>
      <c r="BF29" s="99">
        <v>0.97044553354850815</v>
      </c>
      <c r="BG29" s="99">
        <v>1</v>
      </c>
      <c r="BH29" s="99">
        <v>0.98511193960306265</v>
      </c>
      <c r="BI29" s="99">
        <v>0.97044553354850815</v>
      </c>
      <c r="BJ29" s="100">
        <v>0.94176453358424872</v>
      </c>
      <c r="BL29" s="75"/>
    </row>
    <row r="30" spans="1:64">
      <c r="AG30" s="98">
        <v>0.39960000000000001</v>
      </c>
      <c r="AH30" s="67">
        <v>0.41853259769839135</v>
      </c>
      <c r="AI30" s="67">
        <v>0.6563897729952417</v>
      </c>
      <c r="AJ30" s="67">
        <v>0.82201182339796242</v>
      </c>
      <c r="AK30" s="67">
        <v>0.88603351628044036</v>
      </c>
      <c r="AL30" s="67">
        <v>0.94082276905066442</v>
      </c>
      <c r="AM30" s="67">
        <v>0.9841268276634596</v>
      </c>
      <c r="AN30" s="67">
        <v>0.999</v>
      </c>
      <c r="AO30" s="67">
        <v>0.98905978391541893</v>
      </c>
      <c r="AP30" s="67">
        <v>0.96947508801495963</v>
      </c>
      <c r="AQ30" s="89">
        <v>0.39960000000000001</v>
      </c>
      <c r="AR30" s="89">
        <v>0.41853259769839135</v>
      </c>
      <c r="AS30" s="89">
        <v>0.6563897729952417</v>
      </c>
      <c r="AT30" s="89">
        <v>0.82201182339796242</v>
      </c>
      <c r="AU30" s="89">
        <v>0.88603351628044036</v>
      </c>
      <c r="AV30" s="89">
        <v>0.94082276905066442</v>
      </c>
      <c r="AW30" s="89">
        <v>0.9841268276634596</v>
      </c>
      <c r="AX30" s="89">
        <v>0.999</v>
      </c>
      <c r="AY30" s="89">
        <v>0.98905978391541893</v>
      </c>
      <c r="AZ30" s="89">
        <v>0.96947508801495963</v>
      </c>
      <c r="BA30" s="99">
        <v>0.4</v>
      </c>
      <c r="BB30" s="99">
        <v>0.418951549247639</v>
      </c>
      <c r="BC30" s="99">
        <v>0.65704681981505675</v>
      </c>
      <c r="BD30" s="99">
        <v>0.82283465805601841</v>
      </c>
      <c r="BE30" s="99">
        <v>0.88692043671715748</v>
      </c>
      <c r="BF30" s="99">
        <v>0.94176453358424872</v>
      </c>
      <c r="BG30" s="99">
        <v>0.98511193960306265</v>
      </c>
      <c r="BH30" s="99">
        <v>1</v>
      </c>
      <c r="BI30" s="99">
        <v>0.99004983374916811</v>
      </c>
      <c r="BJ30" s="100">
        <v>0.97044553354850815</v>
      </c>
      <c r="BL30" s="75"/>
    </row>
    <row r="31" spans="1:64">
      <c r="AG31" s="98">
        <v>0.39960000000000001</v>
      </c>
      <c r="AH31" s="67">
        <v>0.39960000000000001</v>
      </c>
      <c r="AI31" s="67">
        <v>0.5649599132608375</v>
      </c>
      <c r="AJ31" s="67">
        <v>0.76261611484251635</v>
      </c>
      <c r="AK31" s="67">
        <v>0.84282115177978734</v>
      </c>
      <c r="AL31" s="67">
        <v>0.91301725408595691</v>
      </c>
      <c r="AM31" s="67">
        <v>0.96947508801495963</v>
      </c>
      <c r="AN31" s="67">
        <v>0.98905978391541893</v>
      </c>
      <c r="AO31" s="67">
        <v>0.999</v>
      </c>
      <c r="AP31" s="67">
        <v>0.9841268276634596</v>
      </c>
      <c r="AQ31" s="89">
        <v>0.39960000000000001</v>
      </c>
      <c r="AR31" s="89">
        <v>0.39960000000000001</v>
      </c>
      <c r="AS31" s="89">
        <v>0.5649599132608375</v>
      </c>
      <c r="AT31" s="89">
        <v>0.76261611484251635</v>
      </c>
      <c r="AU31" s="89">
        <v>0.84282115177978734</v>
      </c>
      <c r="AV31" s="89">
        <v>0.91301725408595691</v>
      </c>
      <c r="AW31" s="89">
        <v>0.96947508801495963</v>
      </c>
      <c r="AX31" s="89">
        <v>0.98905978391541893</v>
      </c>
      <c r="AY31" s="89">
        <v>0.999</v>
      </c>
      <c r="AZ31" s="89">
        <v>0.9841268276634596</v>
      </c>
      <c r="BA31" s="99">
        <v>0.4</v>
      </c>
      <c r="BB31" s="99">
        <v>0.4</v>
      </c>
      <c r="BC31" s="99">
        <v>0.56552543869953709</v>
      </c>
      <c r="BD31" s="99">
        <v>0.76337949433685315</v>
      </c>
      <c r="BE31" s="99">
        <v>0.8436648165963837</v>
      </c>
      <c r="BF31" s="99">
        <v>0.91393118527122819</v>
      </c>
      <c r="BG31" s="99">
        <v>0.97044553354850815</v>
      </c>
      <c r="BH31" s="99">
        <v>0.99004983374916811</v>
      </c>
      <c r="BI31" s="99">
        <v>1</v>
      </c>
      <c r="BJ31" s="100">
        <v>0.98511193960306265</v>
      </c>
      <c r="BL31" s="75"/>
    </row>
    <row r="32" spans="1:64" ht="16" thickBot="1">
      <c r="AG32" s="95">
        <v>0.39960000000000001</v>
      </c>
      <c r="AH32" s="96">
        <v>0.39960000000000001</v>
      </c>
      <c r="AI32" s="96">
        <v>0.41853259769839135</v>
      </c>
      <c r="AJ32" s="96">
        <v>0.6563897729952417</v>
      </c>
      <c r="AK32" s="96">
        <v>0.76261611484251646</v>
      </c>
      <c r="AL32" s="96">
        <v>0.8598472684486328</v>
      </c>
      <c r="AM32" s="96">
        <v>0.94082276905066442</v>
      </c>
      <c r="AN32" s="96">
        <v>0.96947508801495963</v>
      </c>
      <c r="AO32" s="96">
        <v>0.9841268276634596</v>
      </c>
      <c r="AP32" s="96">
        <v>0.999</v>
      </c>
      <c r="AQ32" s="102">
        <v>0.39960000000000001</v>
      </c>
      <c r="AR32" s="102">
        <v>0.39960000000000001</v>
      </c>
      <c r="AS32" s="102">
        <v>0.41853259769839135</v>
      </c>
      <c r="AT32" s="102">
        <v>0.6563897729952417</v>
      </c>
      <c r="AU32" s="102">
        <v>0.76261611484251646</v>
      </c>
      <c r="AV32" s="102">
        <v>0.8598472684486328</v>
      </c>
      <c r="AW32" s="102">
        <v>0.94082276905066442</v>
      </c>
      <c r="AX32" s="102">
        <v>0.96947508801495963</v>
      </c>
      <c r="AY32" s="102">
        <v>0.9841268276634596</v>
      </c>
      <c r="AZ32" s="102">
        <v>0.999</v>
      </c>
      <c r="BA32" s="103">
        <v>0.4</v>
      </c>
      <c r="BB32" s="103">
        <v>0.4</v>
      </c>
      <c r="BC32" s="103">
        <v>0.418951549247639</v>
      </c>
      <c r="BD32" s="103">
        <v>0.65704681981505675</v>
      </c>
      <c r="BE32" s="103">
        <v>0.76337949433685326</v>
      </c>
      <c r="BF32" s="103">
        <v>0.86070797642505781</v>
      </c>
      <c r="BG32" s="103">
        <v>0.94176453358424872</v>
      </c>
      <c r="BH32" s="103">
        <v>0.97044553354850815</v>
      </c>
      <c r="BI32" s="103">
        <v>0.98511193960306265</v>
      </c>
      <c r="BJ32" s="104">
        <v>1</v>
      </c>
      <c r="BL32" s="75"/>
    </row>
    <row r="33" spans="64:64">
      <c r="BL33" s="75"/>
    </row>
  </sheetData>
  <phoneticPr fontId="2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62"/>
  <sheetViews>
    <sheetView tabSelected="1" topLeftCell="A4" workbookViewId="0">
      <selection activeCell="N17" sqref="N17"/>
    </sheetView>
  </sheetViews>
  <sheetFormatPr defaultRowHeight="17"/>
  <cols>
    <col min="2" max="2" width="19.81640625" customWidth="1"/>
    <col min="3" max="3" width="15.90625" customWidth="1"/>
    <col min="4" max="4" width="15.81640625" customWidth="1"/>
    <col min="6" max="6" width="14.81640625" bestFit="1" customWidth="1"/>
    <col min="7" max="7" width="12.26953125" bestFit="1" customWidth="1"/>
    <col min="8" max="8" width="13.6328125" customWidth="1"/>
    <col min="9" max="9" width="15.54296875" customWidth="1"/>
    <col min="10" max="10" width="17" customWidth="1"/>
    <col min="11" max="11" width="14.08984375" customWidth="1"/>
    <col min="13" max="13" width="15.1796875" customWidth="1"/>
    <col min="14" max="14" width="16.36328125" customWidth="1"/>
  </cols>
  <sheetData>
    <row r="1" spans="1:16" ht="17.5" thickBot="1"/>
    <row r="2" spans="1:16" ht="17.5" thickBot="1">
      <c r="B2" s="126" t="s">
        <v>25</v>
      </c>
      <c r="C2" s="150">
        <v>1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</row>
    <row r="3" spans="1:16" ht="17.5" thickBot="1">
      <c r="B3" s="55"/>
      <c r="C3" s="154" t="s">
        <v>26</v>
      </c>
      <c r="D3" s="155" t="s">
        <v>24</v>
      </c>
      <c r="E3" s="55"/>
      <c r="F3" s="146">
        <f>C4</f>
        <v>0</v>
      </c>
      <c r="G3" s="165">
        <f>C5</f>
        <v>0</v>
      </c>
      <c r="H3" s="122">
        <v>1</v>
      </c>
      <c r="I3" s="123">
        <v>0</v>
      </c>
      <c r="J3" s="163">
        <f>F3</f>
        <v>0</v>
      </c>
      <c r="K3" s="55"/>
      <c r="L3" s="55"/>
      <c r="M3" s="55"/>
      <c r="N3" s="128" t="s">
        <v>27</v>
      </c>
      <c r="O3" s="55"/>
      <c r="P3" s="55"/>
    </row>
    <row r="4" spans="1:16" ht="17.5" thickBot="1">
      <c r="B4" s="156" t="s">
        <v>38</v>
      </c>
      <c r="C4" s="82">
        <f>CurvatureCap!E20</f>
        <v>0</v>
      </c>
      <c r="D4" s="120">
        <f>CurvatureCap!H20</f>
        <v>-1101351.3020353748</v>
      </c>
      <c r="E4" s="55"/>
      <c r="F4" s="55"/>
      <c r="G4" s="55"/>
      <c r="H4" s="124">
        <v>0</v>
      </c>
      <c r="I4" s="125">
        <v>1</v>
      </c>
      <c r="J4" s="164">
        <f>G3</f>
        <v>0</v>
      </c>
      <c r="K4" s="55"/>
      <c r="L4" s="55"/>
      <c r="M4" s="122" t="s">
        <v>25</v>
      </c>
      <c r="N4" s="168">
        <f>K20</f>
        <v>0</v>
      </c>
      <c r="O4" s="55"/>
      <c r="P4" s="55"/>
    </row>
    <row r="5" spans="1:16" ht="17.5" thickBot="1">
      <c r="B5" s="157" t="s">
        <v>39</v>
      </c>
      <c r="C5" s="145">
        <f>C4*0.2</f>
        <v>0</v>
      </c>
      <c r="D5" s="121">
        <f>D4*0.2</f>
        <v>-220270.26040707497</v>
      </c>
      <c r="E5" s="55"/>
      <c r="F5" s="55"/>
      <c r="G5" s="55"/>
      <c r="H5" s="146">
        <f t="array" ref="H5:I5">MMULT(F3:G3,H3:I4)</f>
        <v>0</v>
      </c>
      <c r="I5" s="162">
        <v>0</v>
      </c>
      <c r="J5" s="61">
        <f>MMULT(H5:I5,J3:J4)</f>
        <v>0</v>
      </c>
      <c r="K5" s="55"/>
      <c r="L5" s="55"/>
      <c r="M5" s="129" t="s">
        <v>28</v>
      </c>
      <c r="N5" s="169">
        <f>K41</f>
        <v>0</v>
      </c>
      <c r="O5" s="55"/>
      <c r="P5" s="55"/>
    </row>
    <row r="6" spans="1:16" ht="17.5" thickBot="1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124" t="s">
        <v>29</v>
      </c>
      <c r="N6" s="170">
        <f>K62</f>
        <v>0</v>
      </c>
      <c r="O6" s="55"/>
      <c r="P6" s="55"/>
    </row>
    <row r="7" spans="1:16" ht="17.5" thickBot="1">
      <c r="B7" s="126" t="s">
        <v>33</v>
      </c>
      <c r="C7" s="149">
        <v>0.25</v>
      </c>
      <c r="D7" s="55"/>
      <c r="E7" s="55"/>
      <c r="F7" s="55"/>
      <c r="G7" s="55"/>
      <c r="H7" s="55" t="s">
        <v>34</v>
      </c>
      <c r="I7" s="55"/>
      <c r="J7" s="55"/>
      <c r="K7" s="55"/>
      <c r="L7" s="55"/>
      <c r="M7" s="124" t="s">
        <v>30</v>
      </c>
      <c r="N7" s="171">
        <f>MAX(N4,N5,N6)</f>
        <v>0</v>
      </c>
      <c r="O7" s="55"/>
      <c r="P7" s="55"/>
    </row>
    <row r="8" spans="1:16">
      <c r="B8" s="55"/>
      <c r="C8" s="55"/>
      <c r="D8" s="55"/>
      <c r="E8" s="55"/>
      <c r="F8" s="55"/>
      <c r="G8" s="55"/>
      <c r="H8" s="122">
        <f>Signed(F15,J15)</f>
        <v>0</v>
      </c>
      <c r="I8" s="123">
        <f>Signed(F15,J16)</f>
        <v>0</v>
      </c>
      <c r="J8" s="55"/>
      <c r="K8" s="55"/>
      <c r="L8" s="55"/>
      <c r="M8" s="55"/>
      <c r="N8" s="55"/>
      <c r="O8" s="55"/>
      <c r="P8" s="55"/>
    </row>
    <row r="9" spans="1:16" ht="17.5" thickBot="1">
      <c r="A9" s="172"/>
      <c r="B9" s="67"/>
      <c r="C9" s="67"/>
      <c r="D9" s="67"/>
      <c r="E9" s="55"/>
      <c r="F9" s="55"/>
      <c r="G9" s="55"/>
      <c r="H9" s="124">
        <f>Signed(G15,J15)</f>
        <v>0</v>
      </c>
      <c r="I9" s="125">
        <f>Signed(G15,J16)</f>
        <v>0</v>
      </c>
      <c r="J9" s="55"/>
      <c r="K9" s="55"/>
      <c r="L9" s="55"/>
      <c r="M9" s="55"/>
      <c r="N9" s="55"/>
      <c r="O9" s="55"/>
      <c r="P9" s="55"/>
    </row>
    <row r="10" spans="1:16"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</row>
    <row r="11" spans="1:16" ht="17.5" thickBot="1">
      <c r="B11" s="55"/>
      <c r="C11" s="55"/>
      <c r="D11" s="55"/>
      <c r="E11" s="55"/>
      <c r="F11" s="55"/>
      <c r="G11" s="55"/>
      <c r="H11" s="55" t="s">
        <v>35</v>
      </c>
      <c r="I11" s="55"/>
      <c r="J11" s="55"/>
      <c r="K11" s="55"/>
      <c r="L11" s="55"/>
      <c r="M11" s="55"/>
      <c r="N11" s="55"/>
      <c r="O11" s="55"/>
      <c r="P11" s="55"/>
    </row>
    <row r="12" spans="1:16">
      <c r="B12" s="55"/>
      <c r="C12" s="55"/>
      <c r="D12" s="55"/>
      <c r="E12" s="55"/>
      <c r="F12" s="55"/>
      <c r="G12" s="55"/>
      <c r="H12" s="122">
        <v>0</v>
      </c>
      <c r="I12" s="123">
        <f>H13</f>
        <v>0.25</v>
      </c>
      <c r="J12" s="55"/>
      <c r="K12" s="55"/>
      <c r="L12" s="55"/>
      <c r="M12" s="55"/>
      <c r="N12" s="55"/>
      <c r="O12" s="55"/>
      <c r="P12" s="55"/>
    </row>
    <row r="13" spans="1:16" ht="17.5" thickBot="1">
      <c r="B13" s="55"/>
      <c r="C13" s="55"/>
      <c r="D13" s="55"/>
      <c r="E13" s="55"/>
      <c r="F13" s="55"/>
      <c r="G13" s="55"/>
      <c r="H13" s="124">
        <f>C7</f>
        <v>0.25</v>
      </c>
      <c r="I13" s="125">
        <v>0</v>
      </c>
      <c r="J13" s="55"/>
      <c r="K13" s="55"/>
      <c r="L13" s="55"/>
      <c r="M13" s="55"/>
      <c r="N13" s="55"/>
      <c r="O13" s="55"/>
      <c r="P13" s="55"/>
    </row>
    <row r="14" spans="1:16" ht="17.5" thickBot="1"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</row>
    <row r="15" spans="1:16" ht="17.5" thickBot="1">
      <c r="B15" s="55"/>
      <c r="C15" s="55"/>
      <c r="D15" s="55"/>
      <c r="E15" s="55"/>
      <c r="F15" s="115">
        <f>D4</f>
        <v>-1101351.3020353748</v>
      </c>
      <c r="G15" s="116">
        <f>D5</f>
        <v>-220270.26040707497</v>
      </c>
      <c r="H15" s="122">
        <f>H8*H12</f>
        <v>0</v>
      </c>
      <c r="I15" s="123">
        <f>I8*I12</f>
        <v>0</v>
      </c>
      <c r="J15" s="120">
        <f>F15</f>
        <v>-1101351.3020353748</v>
      </c>
      <c r="K15" s="55"/>
      <c r="L15" s="55"/>
      <c r="M15" s="55"/>
      <c r="N15" s="55"/>
      <c r="O15" s="55"/>
      <c r="P15" s="55"/>
    </row>
    <row r="16" spans="1:16" ht="17.5" thickBot="1">
      <c r="B16" s="55"/>
      <c r="C16" s="55"/>
      <c r="D16" s="55"/>
      <c r="E16" s="55"/>
      <c r="F16" s="55"/>
      <c r="G16" s="55"/>
      <c r="H16" s="124">
        <f>H9*H13</f>
        <v>0</v>
      </c>
      <c r="I16" s="125">
        <f>I9*I13</f>
        <v>0</v>
      </c>
      <c r="J16" s="121">
        <f>G15</f>
        <v>-220270.26040707497</v>
      </c>
      <c r="K16" s="55"/>
      <c r="L16" s="55"/>
      <c r="M16" s="55"/>
      <c r="N16" s="55"/>
      <c r="O16" s="55"/>
      <c r="P16" s="55"/>
    </row>
    <row r="17" spans="2:16" ht="17.5" thickBot="1">
      <c r="B17" s="55"/>
      <c r="C17" s="55"/>
      <c r="D17" s="55"/>
      <c r="E17" s="55"/>
      <c r="F17" s="55"/>
      <c r="G17" s="55"/>
      <c r="H17" s="180">
        <f t="array" ref="H17:I17">MMULT(F15:G15,H15:I16)</f>
        <v>0</v>
      </c>
      <c r="I17" s="104">
        <v>0</v>
      </c>
      <c r="J17" s="106">
        <f>MMULT(H17:I17,J15:J16)</f>
        <v>0</v>
      </c>
      <c r="K17" s="55"/>
      <c r="L17" s="55"/>
      <c r="M17" s="55"/>
      <c r="N17" s="55"/>
      <c r="O17" s="55"/>
      <c r="P17" s="55"/>
    </row>
    <row r="18" spans="2:16" ht="17.5" thickBot="1"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</row>
    <row r="19" spans="2:16" ht="17.5" thickBot="1">
      <c r="B19" s="55"/>
      <c r="C19" s="55"/>
      <c r="D19" s="55"/>
      <c r="E19" s="55"/>
      <c r="F19" s="55"/>
      <c r="G19" s="55"/>
      <c r="H19" s="55"/>
      <c r="I19" s="55"/>
      <c r="J19" s="126" t="s">
        <v>36</v>
      </c>
      <c r="K19" s="105">
        <f>J5+J17</f>
        <v>0</v>
      </c>
      <c r="L19" s="55"/>
      <c r="M19" s="55"/>
      <c r="N19" s="55"/>
      <c r="O19" s="55"/>
      <c r="P19" s="55"/>
    </row>
    <row r="20" spans="2:16" ht="17.5" thickBot="1">
      <c r="B20" s="55"/>
      <c r="C20" s="55"/>
      <c r="D20" s="55"/>
      <c r="E20" s="55"/>
      <c r="F20" s="55"/>
      <c r="G20" s="55"/>
      <c r="H20" s="55"/>
      <c r="I20" s="55"/>
      <c r="J20" s="126" t="s">
        <v>37</v>
      </c>
      <c r="K20" s="152">
        <f>SQRT(K19)</f>
        <v>0</v>
      </c>
      <c r="L20" s="55"/>
      <c r="M20" s="55"/>
      <c r="N20" s="55"/>
      <c r="O20" s="55"/>
      <c r="P20" s="55"/>
    </row>
    <row r="21" spans="2:16"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</row>
    <row r="22" spans="2:16" ht="17.5" thickBot="1"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</row>
    <row r="23" spans="2:16" ht="17.5" thickBot="1">
      <c r="B23" s="126" t="s">
        <v>61</v>
      </c>
      <c r="C23" s="150">
        <v>1.25</v>
      </c>
      <c r="D23" s="55"/>
      <c r="E23" s="55"/>
      <c r="F23" s="55"/>
      <c r="G23" s="55"/>
      <c r="H23" s="55"/>
      <c r="I23" s="55"/>
      <c r="J23" s="55"/>
      <c r="K23" s="55"/>
      <c r="L23" s="55"/>
      <c r="M23" s="75"/>
      <c r="N23" s="75"/>
      <c r="O23" s="147"/>
      <c r="P23" s="147"/>
    </row>
    <row r="24" spans="2:16" ht="17.5" thickBot="1">
      <c r="B24" s="55"/>
      <c r="C24" s="154" t="s">
        <v>26</v>
      </c>
      <c r="D24" s="155" t="s">
        <v>24</v>
      </c>
      <c r="E24" s="55"/>
      <c r="F24" s="146">
        <f>C25</f>
        <v>0</v>
      </c>
      <c r="G24" s="165">
        <f>C26</f>
        <v>0</v>
      </c>
      <c r="H24" s="122">
        <v>1</v>
      </c>
      <c r="I24" s="123">
        <v>0</v>
      </c>
      <c r="J24" s="163">
        <f>F24</f>
        <v>0</v>
      </c>
      <c r="K24" s="55"/>
      <c r="L24" s="55"/>
      <c r="M24" s="75"/>
      <c r="N24" s="75"/>
      <c r="O24" s="147"/>
      <c r="P24" s="147"/>
    </row>
    <row r="25" spans="2:16" ht="17.5" thickBot="1">
      <c r="B25" s="156" t="s">
        <v>38</v>
      </c>
      <c r="C25" s="82">
        <f>CurvatureCap!E21</f>
        <v>0</v>
      </c>
      <c r="D25" s="120">
        <f>CurvatureCap!H21</f>
        <v>-1101351.3020353748</v>
      </c>
      <c r="E25" s="55"/>
      <c r="F25" s="55"/>
      <c r="G25" s="55"/>
      <c r="H25" s="124">
        <v>0</v>
      </c>
      <c r="I25" s="125">
        <v>1</v>
      </c>
      <c r="J25" s="164">
        <f>G24</f>
        <v>0</v>
      </c>
      <c r="K25" s="55"/>
      <c r="L25" s="55"/>
      <c r="M25" s="75"/>
      <c r="N25" s="181"/>
      <c r="O25" s="147"/>
      <c r="P25" s="147"/>
    </row>
    <row r="26" spans="2:16" ht="17.5" thickBot="1">
      <c r="B26" s="157" t="s">
        <v>39</v>
      </c>
      <c r="C26" s="145">
        <f>C25*0.2</f>
        <v>0</v>
      </c>
      <c r="D26" s="121">
        <f>D25*0.2</f>
        <v>-220270.26040707497</v>
      </c>
      <c r="E26" s="55"/>
      <c r="F26" s="55"/>
      <c r="G26" s="55"/>
      <c r="H26" s="146">
        <f t="array" ref="H26:I26">MMULT(F24:G24,H24:I25)</f>
        <v>0</v>
      </c>
      <c r="I26" s="162">
        <v>0</v>
      </c>
      <c r="J26" s="61">
        <f>MMULT(H26:I26,J24:J25)</f>
        <v>0</v>
      </c>
      <c r="K26" s="55"/>
      <c r="L26" s="55"/>
      <c r="M26" s="75"/>
      <c r="N26" s="181"/>
      <c r="O26" s="147"/>
      <c r="P26" s="147"/>
    </row>
    <row r="27" spans="2:16" ht="17.5" thickBot="1"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75"/>
      <c r="N27" s="181"/>
      <c r="O27" s="147"/>
      <c r="P27" s="147"/>
    </row>
    <row r="28" spans="2:16" ht="17.5" thickBot="1">
      <c r="B28" s="126" t="s">
        <v>33</v>
      </c>
      <c r="C28" s="149">
        <v>0.25</v>
      </c>
      <c r="D28" s="55"/>
      <c r="E28" s="55"/>
      <c r="F28" s="55"/>
      <c r="G28" s="55"/>
      <c r="H28" s="55" t="s">
        <v>34</v>
      </c>
      <c r="I28" s="55"/>
      <c r="J28" s="55"/>
      <c r="K28" s="55"/>
      <c r="L28" s="55"/>
      <c r="M28" s="75"/>
      <c r="N28" s="182"/>
      <c r="O28" s="147"/>
      <c r="P28" s="147"/>
    </row>
    <row r="29" spans="2:16">
      <c r="B29" s="55"/>
      <c r="C29" s="55"/>
      <c r="D29" s="55"/>
      <c r="E29" s="55"/>
      <c r="F29" s="55"/>
      <c r="G29" s="55"/>
      <c r="H29" s="122">
        <f>Signed(F36,J36)</f>
        <v>0</v>
      </c>
      <c r="I29" s="123">
        <f>Signed(F36,J37)</f>
        <v>0</v>
      </c>
      <c r="J29" s="55"/>
      <c r="K29" s="55"/>
      <c r="L29" s="55"/>
      <c r="M29" s="75"/>
      <c r="N29" s="75"/>
      <c r="O29" s="147"/>
      <c r="P29" s="147"/>
    </row>
    <row r="30" spans="2:16" ht="17.5" thickBot="1">
      <c r="B30" s="67"/>
      <c r="C30" s="67"/>
      <c r="D30" s="67"/>
      <c r="E30" s="55"/>
      <c r="F30" s="55"/>
      <c r="G30" s="55"/>
      <c r="H30" s="124">
        <f>Signed(G36,J36)</f>
        <v>0</v>
      </c>
      <c r="I30" s="125">
        <f>Signed(G36,J37)</f>
        <v>0</v>
      </c>
      <c r="J30" s="55"/>
      <c r="K30" s="55"/>
      <c r="L30" s="55"/>
      <c r="M30" s="75"/>
      <c r="N30" s="75"/>
      <c r="O30" s="147"/>
      <c r="P30" s="147"/>
    </row>
    <row r="31" spans="2:16"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75"/>
      <c r="N31" s="75"/>
      <c r="O31" s="147"/>
      <c r="P31" s="147"/>
    </row>
    <row r="32" spans="2:16" ht="17.5" thickBot="1">
      <c r="B32" s="55"/>
      <c r="C32" s="55"/>
      <c r="D32" s="55"/>
      <c r="E32" s="55"/>
      <c r="F32" s="55"/>
      <c r="G32" s="55"/>
      <c r="H32" s="55" t="s">
        <v>35</v>
      </c>
      <c r="I32" s="55"/>
      <c r="J32" s="55"/>
      <c r="K32" s="55"/>
      <c r="L32" s="55"/>
      <c r="M32" s="75"/>
      <c r="N32" s="75"/>
      <c r="O32" s="147"/>
      <c r="P32" s="147"/>
    </row>
    <row r="33" spans="2:17">
      <c r="B33" s="55"/>
      <c r="C33" s="55"/>
      <c r="D33" s="55"/>
      <c r="E33" s="55"/>
      <c r="F33" s="55"/>
      <c r="G33" s="55"/>
      <c r="H33" s="122">
        <v>0</v>
      </c>
      <c r="I33" s="123">
        <f>H34</f>
        <v>0.3125</v>
      </c>
      <c r="J33" s="55"/>
      <c r="K33" s="55"/>
      <c r="L33" s="55"/>
      <c r="M33" s="55"/>
      <c r="N33" s="55"/>
    </row>
    <row r="34" spans="2:17" ht="17.5" thickBot="1">
      <c r="B34" s="55"/>
      <c r="C34" s="55"/>
      <c r="D34" s="55"/>
      <c r="E34" s="55"/>
      <c r="F34" s="55"/>
      <c r="G34" s="55"/>
      <c r="H34" s="124">
        <f>C28*C23</f>
        <v>0.3125</v>
      </c>
      <c r="I34" s="125">
        <v>0</v>
      </c>
      <c r="J34" s="55"/>
      <c r="K34" s="55"/>
      <c r="L34" s="55"/>
      <c r="M34" s="55"/>
      <c r="N34" s="55"/>
    </row>
    <row r="35" spans="2:17" ht="17.5" thickBot="1"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</row>
    <row r="36" spans="2:17" ht="17.5" thickBot="1">
      <c r="B36" s="55"/>
      <c r="C36" s="55"/>
      <c r="D36" s="55"/>
      <c r="E36" s="55"/>
      <c r="F36" s="115">
        <f>D25</f>
        <v>-1101351.3020353748</v>
      </c>
      <c r="G36" s="116">
        <f>D26</f>
        <v>-220270.26040707497</v>
      </c>
      <c r="H36" s="122">
        <f>H29*H33</f>
        <v>0</v>
      </c>
      <c r="I36" s="123">
        <f>I29*I33</f>
        <v>0</v>
      </c>
      <c r="J36" s="120">
        <f>F36</f>
        <v>-1101351.3020353748</v>
      </c>
      <c r="K36" s="55"/>
      <c r="L36" s="55"/>
      <c r="M36" s="55"/>
      <c r="N36" s="55"/>
    </row>
    <row r="37" spans="2:17" ht="17.5" thickBot="1">
      <c r="B37" s="55"/>
      <c r="C37" s="55"/>
      <c r="D37" s="55"/>
      <c r="E37" s="55"/>
      <c r="F37" s="55"/>
      <c r="G37" s="55"/>
      <c r="H37" s="124">
        <f>H30*H34</f>
        <v>0</v>
      </c>
      <c r="I37" s="125">
        <f>I30*I34</f>
        <v>0</v>
      </c>
      <c r="J37" s="121">
        <f>G36</f>
        <v>-220270.26040707497</v>
      </c>
      <c r="K37" s="55"/>
      <c r="L37" s="55"/>
      <c r="M37" s="55"/>
      <c r="N37" s="55"/>
    </row>
    <row r="38" spans="2:17" ht="17.5" thickBot="1">
      <c r="B38" s="55"/>
      <c r="C38" s="55"/>
      <c r="D38" s="55"/>
      <c r="E38" s="55"/>
      <c r="F38" s="55"/>
      <c r="G38" s="55"/>
      <c r="H38" s="180">
        <f t="array" ref="H38:I38">MMULT(F36:G36,H36:I37)</f>
        <v>0</v>
      </c>
      <c r="I38" s="104">
        <v>0</v>
      </c>
      <c r="J38" s="106">
        <f>MMULT(H38:I38,J36:J37)</f>
        <v>0</v>
      </c>
      <c r="K38" s="55"/>
      <c r="L38" s="55"/>
      <c r="M38" s="55"/>
      <c r="N38" s="55"/>
    </row>
    <row r="39" spans="2:17" ht="17.5" thickBot="1"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</row>
    <row r="40" spans="2:17" ht="17.5" thickBot="1">
      <c r="B40" s="55"/>
      <c r="C40" s="55"/>
      <c r="D40" s="55"/>
      <c r="E40" s="55"/>
      <c r="F40" s="55"/>
      <c r="G40" s="55"/>
      <c r="H40" s="55"/>
      <c r="I40" s="55"/>
      <c r="J40" s="126" t="s">
        <v>36</v>
      </c>
      <c r="K40" s="105">
        <f>J26+J38</f>
        <v>0</v>
      </c>
      <c r="L40" s="55"/>
      <c r="M40" s="55"/>
      <c r="N40" s="55"/>
    </row>
    <row r="41" spans="2:17" ht="17.5" thickBot="1">
      <c r="B41" s="55"/>
      <c r="C41" s="55"/>
      <c r="D41" s="55"/>
      <c r="E41" s="55"/>
      <c r="F41" s="55"/>
      <c r="G41" s="55"/>
      <c r="H41" s="55"/>
      <c r="I41" s="55"/>
      <c r="J41" s="126" t="s">
        <v>37</v>
      </c>
      <c r="K41" s="152">
        <f>SQRT(K40)</f>
        <v>0</v>
      </c>
      <c r="L41" s="55"/>
      <c r="M41" s="55"/>
      <c r="N41" s="55"/>
    </row>
    <row r="43" spans="2:17" ht="17.5" thickBot="1">
      <c r="M43" s="147"/>
      <c r="N43" s="147"/>
      <c r="O43" s="147"/>
      <c r="P43" s="147"/>
      <c r="Q43" s="147"/>
    </row>
    <row r="44" spans="2:17" ht="17.5" thickBot="1">
      <c r="B44" s="126" t="s">
        <v>62</v>
      </c>
      <c r="C44" s="150">
        <v>0.75</v>
      </c>
      <c r="D44" s="55"/>
      <c r="E44" s="55"/>
      <c r="F44" s="55"/>
      <c r="G44" s="55"/>
      <c r="H44" s="55"/>
      <c r="I44" s="55"/>
      <c r="J44" s="55"/>
      <c r="K44" s="55"/>
      <c r="L44" s="55"/>
      <c r="M44" s="75"/>
      <c r="N44" s="75"/>
      <c r="O44" s="147"/>
      <c r="P44" s="147"/>
      <c r="Q44" s="147"/>
    </row>
    <row r="45" spans="2:17" ht="17.5" thickBot="1">
      <c r="B45" s="55"/>
      <c r="C45" s="154" t="s">
        <v>26</v>
      </c>
      <c r="D45" s="155" t="s">
        <v>24</v>
      </c>
      <c r="E45" s="55"/>
      <c r="F45" s="146">
        <f>C46</f>
        <v>0</v>
      </c>
      <c r="G45" s="165">
        <f>C47</f>
        <v>0</v>
      </c>
      <c r="H45" s="122">
        <v>1</v>
      </c>
      <c r="I45" s="123">
        <v>0</v>
      </c>
      <c r="J45" s="163">
        <f>F45</f>
        <v>0</v>
      </c>
      <c r="K45" s="55"/>
      <c r="L45" s="55"/>
      <c r="M45" s="75"/>
      <c r="N45" s="75"/>
      <c r="O45" s="147"/>
      <c r="P45" s="147"/>
      <c r="Q45" s="147"/>
    </row>
    <row r="46" spans="2:17" ht="17.5" thickBot="1">
      <c r="B46" s="156" t="s">
        <v>38</v>
      </c>
      <c r="C46" s="82">
        <f>CurvatureCap!E22</f>
        <v>0</v>
      </c>
      <c r="D46" s="120">
        <f>CurvatureCap!H22</f>
        <v>-1101351.3020353748</v>
      </c>
      <c r="E46" s="55"/>
      <c r="F46" s="55"/>
      <c r="G46" s="55"/>
      <c r="H46" s="124">
        <v>0</v>
      </c>
      <c r="I46" s="125">
        <v>1</v>
      </c>
      <c r="J46" s="164">
        <f>G45</f>
        <v>0</v>
      </c>
      <c r="K46" s="55"/>
      <c r="L46" s="55"/>
      <c r="M46" s="75"/>
      <c r="N46" s="181"/>
      <c r="O46" s="147"/>
      <c r="P46" s="147"/>
      <c r="Q46" s="147"/>
    </row>
    <row r="47" spans="2:17" ht="17.5" thickBot="1">
      <c r="B47" s="157" t="s">
        <v>39</v>
      </c>
      <c r="C47" s="145">
        <f>C46*0.2</f>
        <v>0</v>
      </c>
      <c r="D47" s="121">
        <f>D46*0.2</f>
        <v>-220270.26040707497</v>
      </c>
      <c r="E47" s="55"/>
      <c r="F47" s="55"/>
      <c r="G47" s="55"/>
      <c r="H47" s="146">
        <f t="array" ref="H47:I47">MMULT(F45:G45,H45:I46)</f>
        <v>0</v>
      </c>
      <c r="I47" s="162">
        <v>0</v>
      </c>
      <c r="J47" s="61">
        <f>MMULT(H47:I47,J45:J46)</f>
        <v>0</v>
      </c>
      <c r="K47" s="55"/>
      <c r="L47" s="55"/>
      <c r="M47" s="75"/>
      <c r="N47" s="181"/>
      <c r="O47" s="147"/>
      <c r="P47" s="147"/>
      <c r="Q47" s="147"/>
    </row>
    <row r="48" spans="2:17" ht="17.5" thickBot="1"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75"/>
      <c r="N48" s="181"/>
      <c r="O48" s="147"/>
      <c r="P48" s="147"/>
      <c r="Q48" s="147"/>
    </row>
    <row r="49" spans="2:17" ht="17.5" thickBot="1">
      <c r="B49" s="126" t="s">
        <v>33</v>
      </c>
      <c r="C49" s="149">
        <v>0.25</v>
      </c>
      <c r="D49" s="55"/>
      <c r="E49" s="55"/>
      <c r="F49" s="55"/>
      <c r="G49" s="55"/>
      <c r="H49" s="55" t="s">
        <v>34</v>
      </c>
      <c r="I49" s="55"/>
      <c r="J49" s="55"/>
      <c r="K49" s="55"/>
      <c r="L49" s="55"/>
      <c r="M49" s="75"/>
      <c r="N49" s="182"/>
      <c r="O49" s="147"/>
      <c r="P49" s="147"/>
      <c r="Q49" s="147"/>
    </row>
    <row r="50" spans="2:17">
      <c r="B50" s="55"/>
      <c r="C50" s="55"/>
      <c r="D50" s="55"/>
      <c r="E50" s="55"/>
      <c r="F50" s="55"/>
      <c r="G50" s="55"/>
      <c r="H50" s="122">
        <f>Signed(F57,J57)</f>
        <v>0</v>
      </c>
      <c r="I50" s="123">
        <f>Signed(F57,J58)</f>
        <v>0</v>
      </c>
      <c r="J50" s="55"/>
      <c r="K50" s="55"/>
      <c r="L50" s="55"/>
      <c r="M50" s="75"/>
      <c r="N50" s="75"/>
      <c r="O50" s="147"/>
      <c r="P50" s="147"/>
      <c r="Q50" s="147"/>
    </row>
    <row r="51" spans="2:17" ht="17.5" thickBot="1">
      <c r="B51" s="67"/>
      <c r="C51" s="67"/>
      <c r="D51" s="67"/>
      <c r="E51" s="55"/>
      <c r="F51" s="55"/>
      <c r="G51" s="55"/>
      <c r="H51" s="124">
        <f>Signed(G57,J57)</f>
        <v>0</v>
      </c>
      <c r="I51" s="125">
        <f>Signed(G57,J58)</f>
        <v>0</v>
      </c>
      <c r="J51" s="55"/>
      <c r="K51" s="55"/>
      <c r="L51" s="55"/>
      <c r="M51" s="75"/>
      <c r="N51" s="75"/>
      <c r="O51" s="147"/>
      <c r="P51" s="147"/>
      <c r="Q51" s="147"/>
    </row>
    <row r="52" spans="2:17"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</row>
    <row r="53" spans="2:17" ht="17.5" thickBot="1">
      <c r="B53" s="55"/>
      <c r="C53" s="55"/>
      <c r="D53" s="55"/>
      <c r="E53" s="55"/>
      <c r="F53" s="55"/>
      <c r="G53" s="55"/>
      <c r="H53" s="55" t="s">
        <v>35</v>
      </c>
      <c r="I53" s="55"/>
      <c r="J53" s="55"/>
      <c r="K53" s="55"/>
      <c r="L53" s="55"/>
      <c r="M53" s="55"/>
      <c r="N53" s="55"/>
    </row>
    <row r="54" spans="2:17">
      <c r="B54" s="55"/>
      <c r="C54" s="55"/>
      <c r="D54" s="55"/>
      <c r="E54" s="55"/>
      <c r="F54" s="55"/>
      <c r="G54" s="55"/>
      <c r="H54" s="122">
        <v>0</v>
      </c>
      <c r="I54" s="123">
        <f>H55</f>
        <v>0.1875</v>
      </c>
      <c r="J54" s="55"/>
      <c r="K54" s="55"/>
      <c r="L54" s="55"/>
      <c r="M54" s="55"/>
      <c r="N54" s="55"/>
    </row>
    <row r="55" spans="2:17" ht="17.5" thickBot="1">
      <c r="B55" s="55"/>
      <c r="C55" s="55"/>
      <c r="D55" s="55"/>
      <c r="E55" s="55"/>
      <c r="F55" s="55"/>
      <c r="G55" s="55"/>
      <c r="H55" s="124">
        <f>C49*C44</f>
        <v>0.1875</v>
      </c>
      <c r="I55" s="125">
        <v>0</v>
      </c>
      <c r="J55" s="55"/>
      <c r="K55" s="55"/>
      <c r="L55" s="55"/>
      <c r="M55" s="55"/>
      <c r="N55" s="55"/>
    </row>
    <row r="56" spans="2:17" ht="17.5" thickBot="1"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</row>
    <row r="57" spans="2:17" ht="17.5" thickBot="1">
      <c r="B57" s="55"/>
      <c r="C57" s="55"/>
      <c r="D57" s="55"/>
      <c r="E57" s="55"/>
      <c r="F57" s="115">
        <f>D46</f>
        <v>-1101351.3020353748</v>
      </c>
      <c r="G57" s="116">
        <f>D47</f>
        <v>-220270.26040707497</v>
      </c>
      <c r="H57" s="122">
        <f>H50*H54</f>
        <v>0</v>
      </c>
      <c r="I57" s="123">
        <f>I50*I54</f>
        <v>0</v>
      </c>
      <c r="J57" s="120">
        <f>F57</f>
        <v>-1101351.3020353748</v>
      </c>
      <c r="K57" s="55"/>
      <c r="L57" s="55"/>
      <c r="M57" s="55"/>
      <c r="N57" s="55"/>
    </row>
    <row r="58" spans="2:17" ht="17.5" thickBot="1">
      <c r="B58" s="55"/>
      <c r="C58" s="55"/>
      <c r="D58" s="55"/>
      <c r="E58" s="55"/>
      <c r="F58" s="55"/>
      <c r="G58" s="55"/>
      <c r="H58" s="124">
        <f>H51*H55</f>
        <v>0</v>
      </c>
      <c r="I58" s="125">
        <f>I51*I55</f>
        <v>0</v>
      </c>
      <c r="J58" s="121">
        <f>G57</f>
        <v>-220270.26040707497</v>
      </c>
      <c r="K58" s="55"/>
      <c r="L58" s="55"/>
      <c r="M58" s="55"/>
      <c r="N58" s="55"/>
    </row>
    <row r="59" spans="2:17" ht="17.5" thickBot="1">
      <c r="B59" s="55"/>
      <c r="C59" s="55"/>
      <c r="D59" s="55"/>
      <c r="E59" s="55"/>
      <c r="F59" s="55"/>
      <c r="G59" s="55"/>
      <c r="H59" s="180">
        <f t="array" ref="H59:I59">MMULT(F57:G57,H57:I58)</f>
        <v>0</v>
      </c>
      <c r="I59" s="104">
        <v>0</v>
      </c>
      <c r="J59" s="106">
        <f>MMULT(H59:I59,J57:J58)</f>
        <v>0</v>
      </c>
      <c r="K59" s="55"/>
      <c r="L59" s="55"/>
      <c r="M59" s="55"/>
      <c r="N59" s="55"/>
    </row>
    <row r="60" spans="2:17" ht="17.5" thickBot="1"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</row>
    <row r="61" spans="2:17" ht="17.5" thickBot="1">
      <c r="B61" s="55"/>
      <c r="C61" s="55"/>
      <c r="D61" s="55"/>
      <c r="E61" s="55"/>
      <c r="F61" s="55"/>
      <c r="G61" s="55"/>
      <c r="H61" s="55"/>
      <c r="I61" s="55"/>
      <c r="J61" s="126" t="s">
        <v>36</v>
      </c>
      <c r="K61" s="105">
        <f>J47+J59</f>
        <v>0</v>
      </c>
      <c r="L61" s="55"/>
      <c r="M61" s="55"/>
      <c r="N61" s="55"/>
    </row>
    <row r="62" spans="2:17" ht="17.5" thickBot="1">
      <c r="B62" s="55"/>
      <c r="C62" s="55"/>
      <c r="D62" s="55"/>
      <c r="E62" s="55"/>
      <c r="F62" s="55"/>
      <c r="G62" s="55"/>
      <c r="H62" s="55"/>
      <c r="I62" s="55"/>
      <c r="J62" s="126" t="s">
        <v>37</v>
      </c>
      <c r="K62" s="152">
        <f>SQRT(K61)</f>
        <v>0</v>
      </c>
      <c r="L62" s="55"/>
      <c r="M62" s="55"/>
      <c r="N62" s="55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已命名的範圍</vt:lpstr>
      </vt:variant>
      <vt:variant>
        <vt:i4>2</vt:i4>
      </vt:variant>
    </vt:vector>
  </HeadingPairs>
  <TitlesOfParts>
    <vt:vector size="10" baseType="lpstr">
      <vt:lpstr>TBondCurve</vt:lpstr>
      <vt:lpstr>SwapCurve</vt:lpstr>
      <vt:lpstr>FXImpCurve</vt:lpstr>
      <vt:lpstr>Correlation</vt:lpstr>
      <vt:lpstr>DeltaCap</vt:lpstr>
      <vt:lpstr>ALL_Delta</vt:lpstr>
      <vt:lpstr>CurvatureCap</vt:lpstr>
      <vt:lpstr>ALL_Curvature</vt:lpstr>
      <vt:lpstr>cross</vt:lpstr>
      <vt:lpstr>theta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dong</dc:creator>
  <cp:lastModifiedBy>andy dong</cp:lastModifiedBy>
  <dcterms:created xsi:type="dcterms:W3CDTF">2022-01-01T08:10:47Z</dcterms:created>
  <dcterms:modified xsi:type="dcterms:W3CDTF">2022-09-29T17:01:38Z</dcterms:modified>
</cp:coreProperties>
</file>