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0" yWindow="40" windowWidth="24890" windowHeight="10550" activeTab="1"/>
  </bookViews>
  <sheets>
    <sheet name="Delta" sheetId="1" r:id="rId1"/>
    <sheet name="Vega" sheetId="2" r:id="rId2"/>
    <sheet name="Curvature" sheetId="3" r:id="rId3"/>
  </sheets>
  <functionGroups/>
  <definedNames>
    <definedName name="H_rho">Delta!$R$11</definedName>
    <definedName name="N_rho">Delta!$R$2</definedName>
  </definedNames>
  <calcPr calcId="124519"/>
</workbook>
</file>

<file path=xl/calcChain.xml><?xml version="1.0" encoding="utf-8"?>
<calcChain xmlns="http://schemas.openxmlformats.org/spreadsheetml/2006/main">
  <c r="Z21" i="2"/>
  <c r="Z13"/>
  <c r="Z20"/>
  <c r="Z12"/>
  <c r="Y21"/>
  <c r="Y13"/>
  <c r="Y20"/>
  <c r="Y12"/>
  <c r="Y19"/>
  <c r="Y11"/>
  <c r="X20"/>
  <c r="X21"/>
  <c r="X19"/>
  <c r="Z19"/>
  <c r="Z18"/>
  <c r="Y18"/>
  <c r="X11"/>
  <c r="Z11"/>
  <c r="X12"/>
  <c r="X13"/>
  <c r="Y10"/>
  <c r="Z10"/>
  <c r="H7" i="3"/>
  <c r="H14" s="1"/>
  <c r="F7"/>
  <c r="F11" s="1"/>
  <c r="D11"/>
  <c r="F14"/>
  <c r="H11" l="1"/>
  <c r="L4" s="1"/>
  <c r="Q4" s="1"/>
  <c r="N20"/>
  <c r="N21" s="1"/>
  <c r="O21" s="1"/>
  <c r="K4"/>
  <c r="P4" s="1"/>
  <c r="O5"/>
  <c r="O3"/>
  <c r="N5"/>
  <c r="N4"/>
  <c r="O4" s="1"/>
  <c r="N3"/>
  <c r="L5"/>
  <c r="Q5" s="1"/>
  <c r="K5"/>
  <c r="P5" s="1"/>
  <c r="L3"/>
  <c r="Q3" s="1"/>
  <c r="R3" s="1"/>
  <c r="K3"/>
  <c r="P3" s="1"/>
  <c r="D7"/>
  <c r="M5"/>
  <c r="M4"/>
  <c r="M3"/>
  <c r="AC18" i="2"/>
  <c r="AE20" s="1"/>
  <c r="AC10"/>
  <c r="AE12" s="1"/>
  <c r="AF12"/>
  <c r="AF20" s="1"/>
  <c r="AG13"/>
  <c r="AG21" s="1"/>
  <c r="AE11"/>
  <c r="AE19" s="1"/>
  <c r="AG4"/>
  <c r="AG3"/>
  <c r="AF3"/>
  <c r="R12"/>
  <c r="R21" s="1"/>
  <c r="S12"/>
  <c r="S21" s="1"/>
  <c r="T12"/>
  <c r="T21" s="1"/>
  <c r="U12"/>
  <c r="U21" s="1"/>
  <c r="Q12"/>
  <c r="Q21" s="1"/>
  <c r="P14"/>
  <c r="P23" s="1"/>
  <c r="P15"/>
  <c r="P24" s="1"/>
  <c r="P16"/>
  <c r="P25" s="1"/>
  <c r="P17"/>
  <c r="P26" s="1"/>
  <c r="P13"/>
  <c r="P22" s="1"/>
  <c r="U8"/>
  <c r="U17" s="1"/>
  <c r="T8"/>
  <c r="U7" s="1"/>
  <c r="T7"/>
  <c r="T16" s="1"/>
  <c r="S8"/>
  <c r="S26" s="1"/>
  <c r="S7"/>
  <c r="S16" s="1"/>
  <c r="S6"/>
  <c r="S15" s="1"/>
  <c r="R8"/>
  <c r="U5" s="1"/>
  <c r="R7"/>
  <c r="R25" s="1"/>
  <c r="R6"/>
  <c r="R15" s="1"/>
  <c r="R5"/>
  <c r="R14" s="1"/>
  <c r="Q5"/>
  <c r="R4" s="1"/>
  <c r="Q4"/>
  <c r="Q22" s="1"/>
  <c r="E4"/>
  <c r="L4" s="1"/>
  <c r="F4"/>
  <c r="M4" s="1"/>
  <c r="G4"/>
  <c r="N4" s="1"/>
  <c r="N13" s="1"/>
  <c r="N22" s="1"/>
  <c r="H4"/>
  <c r="O4" s="1"/>
  <c r="D4"/>
  <c r="T23" i="1"/>
  <c r="U22"/>
  <c r="U21"/>
  <c r="T21"/>
  <c r="S23"/>
  <c r="S22"/>
  <c r="R20"/>
  <c r="R11"/>
  <c r="U13" s="1"/>
  <c r="U4"/>
  <c r="U3"/>
  <c r="T3"/>
  <c r="T5"/>
  <c r="S5"/>
  <c r="S4"/>
  <c r="L4"/>
  <c r="L5"/>
  <c r="L3"/>
  <c r="H7"/>
  <c r="H11" s="1"/>
  <c r="F7"/>
  <c r="F11" s="1"/>
  <c r="D7"/>
  <c r="D14" s="1"/>
  <c r="K5" s="1"/>
  <c r="M5" s="1"/>
  <c r="R3" s="1"/>
  <c r="S3" i="3" l="1"/>
  <c r="K13" s="1"/>
  <c r="Q13" s="1"/>
  <c r="S5"/>
  <c r="M13" s="1"/>
  <c r="R5"/>
  <c r="R4"/>
  <c r="S4"/>
  <c r="L13" s="1"/>
  <c r="O19"/>
  <c r="D14"/>
  <c r="I4" i="2"/>
  <c r="Z3" s="1"/>
  <c r="AB3" s="1"/>
  <c r="S5"/>
  <c r="S14" s="1"/>
  <c r="T25"/>
  <c r="R17"/>
  <c r="AE21"/>
  <c r="AF21" s="1"/>
  <c r="AG20" s="1"/>
  <c r="AF19"/>
  <c r="AG19"/>
  <c r="AF11"/>
  <c r="AG12"/>
  <c r="AE13"/>
  <c r="S24"/>
  <c r="Q13"/>
  <c r="R26"/>
  <c r="U26"/>
  <c r="R23"/>
  <c r="O13"/>
  <c r="O22" s="1"/>
  <c r="V8"/>
  <c r="V17" s="1"/>
  <c r="V26" s="1"/>
  <c r="R13"/>
  <c r="R22"/>
  <c r="U23"/>
  <c r="U14"/>
  <c r="V5"/>
  <c r="V14" s="1"/>
  <c r="V23" s="1"/>
  <c r="L13"/>
  <c r="L22" s="1"/>
  <c r="U16"/>
  <c r="U25"/>
  <c r="V6"/>
  <c r="V15" s="1"/>
  <c r="V24" s="1"/>
  <c r="M13"/>
  <c r="M22" s="1"/>
  <c r="S23"/>
  <c r="K4"/>
  <c r="U6"/>
  <c r="R16"/>
  <c r="T6"/>
  <c r="T17"/>
  <c r="T5"/>
  <c r="T26"/>
  <c r="S25"/>
  <c r="R24"/>
  <c r="Q23"/>
  <c r="V7"/>
  <c r="V16" s="1"/>
  <c r="V25" s="1"/>
  <c r="S17"/>
  <c r="Q14"/>
  <c r="Q8"/>
  <c r="Q7"/>
  <c r="Q6"/>
  <c r="V5" i="1"/>
  <c r="V14" s="1"/>
  <c r="V23" s="1"/>
  <c r="R12"/>
  <c r="R21" s="1"/>
  <c r="D11"/>
  <c r="K4" s="1"/>
  <c r="M4" s="1"/>
  <c r="Q3" s="1"/>
  <c r="K3"/>
  <c r="H14"/>
  <c r="U12"/>
  <c r="F14"/>
  <c r="T12"/>
  <c r="T14"/>
  <c r="S13"/>
  <c r="S14"/>
  <c r="N13" i="3"/>
  <c r="N15"/>
  <c r="N14"/>
  <c r="N33" l="1"/>
  <c r="N41"/>
  <c r="N25"/>
  <c r="N42"/>
  <c r="N26"/>
  <c r="N34"/>
  <c r="N40"/>
  <c r="N24"/>
  <c r="N32"/>
  <c r="K24"/>
  <c r="Q24"/>
  <c r="Q32" s="1"/>
  <c r="Q40" s="1"/>
  <c r="M24"/>
  <c r="Q15"/>
  <c r="L10"/>
  <c r="L24"/>
  <c r="Q14"/>
  <c r="P19"/>
  <c r="P20"/>
  <c r="Z4" i="2"/>
  <c r="AC3" s="1"/>
  <c r="AC11" s="1"/>
  <c r="AC19" s="1"/>
  <c r="Z5"/>
  <c r="AD3" s="1"/>
  <c r="AH5" s="1"/>
  <c r="AH13" s="1"/>
  <c r="AH21" s="1"/>
  <c r="M3" i="1"/>
  <c r="P3" s="1"/>
  <c r="S6" s="1" a="1"/>
  <c r="U6" s="1"/>
  <c r="V7"/>
  <c r="AF13" i="2"/>
  <c r="AG11"/>
  <c r="Q25"/>
  <c r="Q16"/>
  <c r="T4"/>
  <c r="T23"/>
  <c r="T14"/>
  <c r="Q24"/>
  <c r="Q15"/>
  <c r="S4"/>
  <c r="V4"/>
  <c r="V13" s="1"/>
  <c r="V22" s="1"/>
  <c r="K13"/>
  <c r="U24"/>
  <c r="U15"/>
  <c r="AB11"/>
  <c r="AH3"/>
  <c r="AH11" s="1"/>
  <c r="AH19" s="1"/>
  <c r="T15"/>
  <c r="T24"/>
  <c r="Q26"/>
  <c r="U4"/>
  <c r="Q17"/>
  <c r="V4" i="1"/>
  <c r="V13" s="1"/>
  <c r="V22" s="1"/>
  <c r="Q12"/>
  <c r="Q21" s="1"/>
  <c r="P14" i="3"/>
  <c r="P13"/>
  <c r="P15"/>
  <c r="O13"/>
  <c r="O15"/>
  <c r="O14"/>
  <c r="O41" l="1"/>
  <c r="O25"/>
  <c r="O33"/>
  <c r="O34"/>
  <c r="O42"/>
  <c r="O26"/>
  <c r="O32"/>
  <c r="O40"/>
  <c r="O24"/>
  <c r="P34"/>
  <c r="P42"/>
  <c r="P26"/>
  <c r="P40"/>
  <c r="P24"/>
  <c r="P32"/>
  <c r="P41"/>
  <c r="P25"/>
  <c r="P33"/>
  <c r="K40"/>
  <c r="K32"/>
  <c r="M40"/>
  <c r="M32"/>
  <c r="L40"/>
  <c r="L32"/>
  <c r="Q28"/>
  <c r="Q36"/>
  <c r="Q44"/>
  <c r="Q26"/>
  <c r="Q34" s="1"/>
  <c r="Q42" s="1"/>
  <c r="Q25"/>
  <c r="Q33" s="1"/>
  <c r="Q41" s="1"/>
  <c r="AE6" i="2" a="1"/>
  <c r="AF6" s="1"/>
  <c r="AH4"/>
  <c r="AH12" s="1"/>
  <c r="AH20" s="1"/>
  <c r="AD11"/>
  <c r="AD19" s="1"/>
  <c r="S6" i="1"/>
  <c r="V6" s="1" a="1"/>
  <c r="V6" s="1"/>
  <c r="V8" s="1"/>
  <c r="T6"/>
  <c r="V16"/>
  <c r="V25"/>
  <c r="P12"/>
  <c r="V3"/>
  <c r="V12" s="1"/>
  <c r="V21" s="1"/>
  <c r="S22" i="2"/>
  <c r="S13"/>
  <c r="T13"/>
  <c r="T22"/>
  <c r="K22"/>
  <c r="U22"/>
  <c r="U13"/>
  <c r="AB19"/>
  <c r="AE22" s="1" a="1"/>
  <c r="AE14" a="1"/>
  <c r="Q9" a="1"/>
  <c r="P21" i="1"/>
  <c r="S24" s="1" a="1"/>
  <c r="T24" s="1"/>
  <c r="S15" a="1"/>
  <c r="N35" i="3" l="1" a="1"/>
  <c r="N27" a="1"/>
  <c r="O27" s="1"/>
  <c r="AE6" i="2"/>
  <c r="AG6"/>
  <c r="Q18" a="1"/>
  <c r="S18" s="1"/>
  <c r="T9"/>
  <c r="S9"/>
  <c r="R9"/>
  <c r="Q9"/>
  <c r="U9"/>
  <c r="AF22"/>
  <c r="AG22"/>
  <c r="AE22"/>
  <c r="AG14"/>
  <c r="AF14"/>
  <c r="AE14"/>
  <c r="AH6"/>
  <c r="Q27" a="1"/>
  <c r="U24" i="1"/>
  <c r="T15"/>
  <c r="U15"/>
  <c r="S15"/>
  <c r="S24"/>
  <c r="R18" i="2" l="1"/>
  <c r="Q18"/>
  <c r="N35" i="3"/>
  <c r="P35"/>
  <c r="N43" s="1" a="1"/>
  <c r="O35"/>
  <c r="P27"/>
  <c r="N27"/>
  <c r="U18" i="2"/>
  <c r="T18"/>
  <c r="V24" i="1"/>
  <c r="V26" s="1"/>
  <c r="U27" i="2"/>
  <c r="Q27"/>
  <c r="S27"/>
  <c r="R27"/>
  <c r="T27"/>
  <c r="V9" a="1"/>
  <c r="V9" s="1"/>
  <c r="V10" s="1"/>
  <c r="Y3" s="1"/>
  <c r="AH14"/>
  <c r="AH22"/>
  <c r="V15" i="1"/>
  <c r="V18" i="2" l="1" a="1"/>
  <c r="V18" s="1"/>
  <c r="V19" s="1"/>
  <c r="O43" i="3"/>
  <c r="P43"/>
  <c r="N43"/>
  <c r="Q27" a="1"/>
  <c r="Q27" s="1"/>
  <c r="Q29" s="1"/>
  <c r="V29" i="1"/>
  <c r="V17"/>
  <c r="V27" i="2" a="1"/>
  <c r="V27" s="1"/>
  <c r="V28" s="1"/>
  <c r="Y4"/>
  <c r="AH7" s="1"/>
  <c r="Y5"/>
  <c r="Q35" i="3" l="1" a="1"/>
  <c r="Q35" s="1"/>
  <c r="Q37" s="1"/>
  <c r="AH15" i="2"/>
  <c r="AH8"/>
  <c r="AH23" l="1"/>
  <c r="AH24" s="1"/>
  <c r="AH16"/>
  <c r="Q43" i="3" l="1" a="1"/>
  <c r="Q43" s="1"/>
  <c r="Q45" s="1"/>
  <c r="Q48" s="1"/>
  <c r="AH27" i="2"/>
</calcChain>
</file>

<file path=xl/sharedStrings.xml><?xml version="1.0" encoding="utf-8"?>
<sst xmlns="http://schemas.openxmlformats.org/spreadsheetml/2006/main" count="96" uniqueCount="58">
  <si>
    <t>Delta</t>
  </si>
  <si>
    <t>Curv_Up</t>
  </si>
  <si>
    <t>Curv_Dn</t>
  </si>
  <si>
    <t>FWD</t>
    <phoneticPr fontId="2" type="noConversion"/>
  </si>
  <si>
    <t>MMS</t>
    <phoneticPr fontId="2" type="noConversion"/>
  </si>
  <si>
    <t>CCS</t>
    <phoneticPr fontId="2" type="noConversion"/>
  </si>
  <si>
    <t>Option</t>
    <phoneticPr fontId="2" type="noConversion"/>
  </si>
  <si>
    <t>Total</t>
    <phoneticPr fontId="2" type="noConversion"/>
  </si>
  <si>
    <t>USD</t>
    <phoneticPr fontId="2" type="noConversion"/>
  </si>
  <si>
    <t>EUR</t>
    <phoneticPr fontId="2" type="noConversion"/>
  </si>
  <si>
    <t>JPY</t>
    <phoneticPr fontId="2" type="noConversion"/>
  </si>
  <si>
    <t>Delta</t>
    <phoneticPr fontId="2" type="noConversion"/>
  </si>
  <si>
    <t>RW</t>
    <phoneticPr fontId="2" type="noConversion"/>
  </si>
  <si>
    <t>USD</t>
    <phoneticPr fontId="2" type="noConversion"/>
  </si>
  <si>
    <t>EUR</t>
    <phoneticPr fontId="2" type="noConversion"/>
  </si>
  <si>
    <t>JPY</t>
    <phoneticPr fontId="2" type="noConversion"/>
  </si>
  <si>
    <t>WS</t>
    <phoneticPr fontId="2" type="noConversion"/>
  </si>
  <si>
    <t>Normal</t>
    <phoneticPr fontId="2" type="noConversion"/>
  </si>
  <si>
    <t>High</t>
    <phoneticPr fontId="2" type="noConversion"/>
  </si>
  <si>
    <t>Low</t>
    <phoneticPr fontId="2" type="noConversion"/>
  </si>
  <si>
    <t>Delta Capital</t>
    <phoneticPr fontId="2" type="noConversion"/>
  </si>
  <si>
    <t>Vega 6M</t>
  </si>
  <si>
    <t>Vega 1Y</t>
  </si>
  <si>
    <t>Vega 3Y</t>
  </si>
  <si>
    <t>Vega 5Y</t>
    <phoneticPr fontId="2" type="noConversion"/>
  </si>
  <si>
    <t>Vega 10Y</t>
    <phoneticPr fontId="2" type="noConversion"/>
  </si>
  <si>
    <t>USD/TWD</t>
    <phoneticPr fontId="2" type="noConversion"/>
  </si>
  <si>
    <t>RW</t>
    <phoneticPr fontId="2" type="noConversion"/>
  </si>
  <si>
    <t>sk</t>
    <phoneticPr fontId="2" type="noConversion"/>
  </si>
  <si>
    <t>WS</t>
    <phoneticPr fontId="2" type="noConversion"/>
  </si>
  <si>
    <t>alpha</t>
    <phoneticPr fontId="2" type="noConversion"/>
  </si>
  <si>
    <t>USD/EUR</t>
    <phoneticPr fontId="2" type="noConversion"/>
  </si>
  <si>
    <t>USD/JPY</t>
    <phoneticPr fontId="2" type="noConversion"/>
  </si>
  <si>
    <t>Normal</t>
    <phoneticPr fontId="2" type="noConversion"/>
  </si>
  <si>
    <t>High</t>
    <phoneticPr fontId="2" type="noConversion"/>
  </si>
  <si>
    <t>Low</t>
    <phoneticPr fontId="2" type="noConversion"/>
  </si>
  <si>
    <t>Total</t>
    <phoneticPr fontId="2" type="noConversion"/>
  </si>
  <si>
    <t>K</t>
    <phoneticPr fontId="2" type="noConversion"/>
  </si>
  <si>
    <t>S</t>
    <phoneticPr fontId="2" type="noConversion"/>
  </si>
  <si>
    <t>K^2</t>
    <phoneticPr fontId="2" type="noConversion"/>
  </si>
  <si>
    <t>Sum(K^2)</t>
    <phoneticPr fontId="2" type="noConversion"/>
  </si>
  <si>
    <t>Vega Capital</t>
    <phoneticPr fontId="2" type="noConversion"/>
  </si>
  <si>
    <t>Curv_Up</t>
    <phoneticPr fontId="2" type="noConversion"/>
  </si>
  <si>
    <t>Curv_Dn</t>
    <phoneticPr fontId="2" type="noConversion"/>
  </si>
  <si>
    <t>Delta</t>
    <phoneticPr fontId="2" type="noConversion"/>
  </si>
  <si>
    <t>Kb+</t>
    <phoneticPr fontId="2" type="noConversion"/>
  </si>
  <si>
    <t>Kb-</t>
    <phoneticPr fontId="2" type="noConversion"/>
  </si>
  <si>
    <t>Kb</t>
    <phoneticPr fontId="2" type="noConversion"/>
  </si>
  <si>
    <t>Sb</t>
    <phoneticPr fontId="2" type="noConversion"/>
  </si>
  <si>
    <t>gamma</t>
    <phoneticPr fontId="2" type="noConversion"/>
  </si>
  <si>
    <t>phi</t>
    <phoneticPr fontId="2" type="noConversion"/>
  </si>
  <si>
    <t>K^2</t>
    <phoneticPr fontId="2" type="noConversion"/>
  </si>
  <si>
    <t>Normal</t>
    <phoneticPr fontId="2" type="noConversion"/>
  </si>
  <si>
    <t>High</t>
    <phoneticPr fontId="2" type="noConversion"/>
  </si>
  <si>
    <t>Low</t>
    <phoneticPr fontId="2" type="noConversion"/>
  </si>
  <si>
    <t>Curvature Capital</t>
    <phoneticPr fontId="2" type="noConversion"/>
  </si>
  <si>
    <t>Kb^2</t>
    <phoneticPr fontId="2" type="noConversion"/>
  </si>
  <si>
    <t>gamma</t>
    <phoneticPr fontId="2" type="noConversion"/>
  </si>
</sst>
</file>

<file path=xl/styles.xml><?xml version="1.0" encoding="utf-8"?>
<styleSheet xmlns="http://schemas.openxmlformats.org/spreadsheetml/2006/main">
  <numFmts count="9">
    <numFmt numFmtId="176" formatCode="#,##0_ "/>
    <numFmt numFmtId="177" formatCode="#,##0_ ;[Red]\-#,##0\ "/>
    <numFmt numFmtId="178" formatCode="0.00_ "/>
    <numFmt numFmtId="179" formatCode="0.0000_ "/>
    <numFmt numFmtId="180" formatCode="#,##0.0_ ;[Red]\-#,##0.0\ "/>
    <numFmt numFmtId="181" formatCode="#,##0.0000_ ;[Red]\-#,##0.0000\ "/>
    <numFmt numFmtId="183" formatCode="0_ ;[Red]\-0\ "/>
    <numFmt numFmtId="185" formatCode="0.0_ "/>
    <numFmt numFmtId="186" formatCode="0.0000E+00"/>
  </numFmts>
  <fonts count="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onsolas"/>
      <family val="3"/>
    </font>
    <font>
      <sz val="12"/>
      <color rgb="FFFF0000"/>
      <name val="Consolas"/>
      <family val="3"/>
    </font>
    <font>
      <sz val="12"/>
      <color rgb="FF3333FF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/>
    <xf numFmtId="0" fontId="3" fillId="2" borderId="0" xfId="0" applyFont="1" applyFill="1" applyAlignment="1"/>
    <xf numFmtId="0" fontId="3" fillId="2" borderId="0" xfId="0" applyFont="1" applyFill="1" applyAlignment="1">
      <alignment vertical="center"/>
    </xf>
    <xf numFmtId="0" fontId="3" fillId="0" borderId="0" xfId="0" applyFont="1" applyAlignment="1"/>
    <xf numFmtId="176" fontId="3" fillId="0" borderId="0" xfId="0" applyNumberFormat="1" applyFont="1" applyAlignment="1"/>
    <xf numFmtId="0" fontId="3" fillId="0" borderId="0" xfId="0" applyFont="1" applyAlignment="1">
      <alignment vertical="center"/>
    </xf>
    <xf numFmtId="177" fontId="3" fillId="0" borderId="0" xfId="0" applyNumberFormat="1" applyFont="1" applyAlignment="1">
      <alignment vertical="center"/>
    </xf>
    <xf numFmtId="177" fontId="3" fillId="0" borderId="0" xfId="0" applyNumberFormat="1" applyFont="1" applyAlignment="1"/>
    <xf numFmtId="177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0" fillId="2" borderId="0" xfId="0" applyFill="1" applyAlignment="1"/>
    <xf numFmtId="10" fontId="3" fillId="0" borderId="0" xfId="1" applyNumberFormat="1" applyFont="1">
      <alignment vertical="center"/>
    </xf>
    <xf numFmtId="177" fontId="3" fillId="2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178" fontId="3" fillId="0" borderId="0" xfId="0" applyNumberFormat="1" applyFont="1">
      <alignment vertical="center"/>
    </xf>
    <xf numFmtId="0" fontId="4" fillId="4" borderId="1" xfId="0" applyFont="1" applyFill="1" applyBorder="1">
      <alignment vertical="center"/>
    </xf>
    <xf numFmtId="177" fontId="5" fillId="4" borderId="2" xfId="0" applyNumberFormat="1" applyFont="1" applyFill="1" applyBorder="1">
      <alignment vertical="center"/>
    </xf>
    <xf numFmtId="177" fontId="5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0" fillId="0" borderId="0" xfId="0" applyNumberFormat="1">
      <alignment vertical="center"/>
    </xf>
    <xf numFmtId="9" fontId="3" fillId="0" borderId="0" xfId="0" applyNumberFormat="1" applyFont="1">
      <alignment vertical="center"/>
    </xf>
    <xf numFmtId="179" fontId="3" fillId="3" borderId="0" xfId="0" applyNumberFormat="1" applyFont="1" applyFill="1">
      <alignment vertical="center"/>
    </xf>
    <xf numFmtId="181" fontId="3" fillId="3" borderId="0" xfId="0" applyNumberFormat="1" applyFont="1" applyFill="1">
      <alignment vertical="center"/>
    </xf>
    <xf numFmtId="180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7" fontId="3" fillId="0" borderId="0" xfId="1" applyNumberFormat="1" applyFont="1">
      <alignment vertical="center"/>
    </xf>
    <xf numFmtId="0" fontId="3" fillId="0" borderId="0" xfId="0" applyFont="1" applyFill="1">
      <alignment vertical="center"/>
    </xf>
    <xf numFmtId="185" fontId="3" fillId="0" borderId="0" xfId="0" applyNumberFormat="1" applyFont="1">
      <alignment vertical="center"/>
    </xf>
    <xf numFmtId="186" fontId="3" fillId="0" borderId="0" xfId="0" applyNumberFormat="1" applyFont="1">
      <alignment vertical="center"/>
    </xf>
    <xf numFmtId="0" fontId="5" fillId="0" borderId="0" xfId="0" applyFont="1">
      <alignment vertical="center"/>
    </xf>
    <xf numFmtId="183" fontId="5" fillId="4" borderId="2" xfId="0" applyNumberFormat="1" applyFont="1" applyFill="1" applyBorder="1">
      <alignment vertical="center"/>
    </xf>
    <xf numFmtId="176" fontId="5" fillId="0" borderId="0" xfId="0" applyNumberFormat="1" applyFont="1">
      <alignment vertical="center"/>
    </xf>
    <xf numFmtId="0" fontId="0" fillId="0" borderId="0" xfId="0" applyFill="1" applyBorder="1">
      <alignment vertical="center"/>
    </xf>
    <xf numFmtId="0" fontId="4" fillId="0" borderId="0" xfId="0" applyFont="1" applyFill="1" applyBorder="1">
      <alignment vertical="center"/>
    </xf>
    <xf numFmtId="177" fontId="5" fillId="0" borderId="0" xfId="0" applyNumberFormat="1" applyFont="1" applyFill="1" applyBorder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9" defaultPivotStyle="PivotStyleLight16"/>
  <colors>
    <mruColors>
      <color rgb="FF3333FF"/>
      <color rgb="FFCCFFCC"/>
      <color rgb="FFFFFFCC"/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V29"/>
  <sheetViews>
    <sheetView topLeftCell="D1" workbookViewId="0">
      <selection activeCell="V33" sqref="V33"/>
    </sheetView>
  </sheetViews>
  <sheetFormatPr defaultRowHeight="17"/>
  <cols>
    <col min="1" max="1" width="6.7265625" customWidth="1"/>
    <col min="2" max="2" width="11.453125" customWidth="1"/>
    <col min="3" max="3" width="6.7265625" customWidth="1"/>
    <col min="4" max="4" width="18.453125" customWidth="1"/>
    <col min="5" max="5" width="8" customWidth="1"/>
    <col min="6" max="6" width="16.08984375" customWidth="1"/>
    <col min="7" max="7" width="7.08984375" customWidth="1"/>
    <col min="8" max="8" width="17.1796875" customWidth="1"/>
    <col min="11" max="11" width="17.90625" customWidth="1"/>
    <col min="12" max="12" width="14.08984375" customWidth="1"/>
    <col min="13" max="13" width="18.08984375" customWidth="1"/>
    <col min="16" max="16" width="13.6328125" customWidth="1"/>
    <col min="17" max="17" width="12.26953125" customWidth="1"/>
    <col min="18" max="18" width="14" customWidth="1"/>
    <col min="19" max="19" width="14.36328125" customWidth="1"/>
    <col min="20" max="20" width="16.7265625" customWidth="1"/>
    <col min="21" max="21" width="17.36328125" customWidth="1"/>
    <col min="22" max="22" width="17.08984375" customWidth="1"/>
  </cols>
  <sheetData>
    <row r="1" spans="2:22">
      <c r="B1" s="2" t="s">
        <v>8</v>
      </c>
      <c r="C1" s="11"/>
      <c r="D1" s="2" t="s">
        <v>0</v>
      </c>
      <c r="E1" s="2"/>
      <c r="F1" s="2" t="s">
        <v>1</v>
      </c>
      <c r="G1" s="3"/>
      <c r="H1" s="2" t="s">
        <v>2</v>
      </c>
    </row>
    <row r="2" spans="2:22">
      <c r="B2" s="4" t="s">
        <v>3</v>
      </c>
      <c r="C2" s="1"/>
      <c r="D2" s="7">
        <v>27842940.27834126</v>
      </c>
      <c r="E2" s="8"/>
      <c r="F2" s="7">
        <v>-1.1175870895385741E-8</v>
      </c>
      <c r="G2" s="7"/>
      <c r="H2" s="7">
        <v>7.4505805969238256E-9</v>
      </c>
      <c r="J2" s="10"/>
      <c r="K2" s="19" t="s">
        <v>11</v>
      </c>
      <c r="L2" s="19" t="s">
        <v>12</v>
      </c>
      <c r="M2" s="19" t="s">
        <v>16</v>
      </c>
      <c r="P2" s="10" t="s">
        <v>17</v>
      </c>
      <c r="Q2" s="10" t="s">
        <v>57</v>
      </c>
      <c r="R2" s="10">
        <v>0.6</v>
      </c>
    </row>
    <row r="3" spans="2:22">
      <c r="B3" s="10" t="s">
        <v>4</v>
      </c>
      <c r="D3" s="8">
        <v>27842940.27834126</v>
      </c>
      <c r="E3" s="7"/>
      <c r="F3" s="8">
        <v>-1.1175870895385741E-8</v>
      </c>
      <c r="G3" s="7"/>
      <c r="H3" s="8">
        <v>7.4505805969238265E-9</v>
      </c>
      <c r="I3" s="6"/>
      <c r="J3" s="5" t="s">
        <v>13</v>
      </c>
      <c r="K3" s="9">
        <f>D7</f>
        <v>25088436.611775775</v>
      </c>
      <c r="L3" s="12">
        <f>0.15/SQRT(2)</f>
        <v>0.10606601717798211</v>
      </c>
      <c r="M3" s="9">
        <f>K3*L3</f>
        <v>2661030.5486333244</v>
      </c>
      <c r="P3" s="13">
        <f>M3</f>
        <v>2661030.5486333244</v>
      </c>
      <c r="Q3" s="13">
        <f>M4</f>
        <v>665257.63715833111</v>
      </c>
      <c r="R3" s="13">
        <f>M5</f>
        <v>-1330515.2743166622</v>
      </c>
      <c r="S3" s="14">
        <v>0</v>
      </c>
      <c r="T3" s="14">
        <f>N_rho</f>
        <v>0.6</v>
      </c>
      <c r="U3" s="14">
        <f>N_rho</f>
        <v>0.6</v>
      </c>
      <c r="V3" s="13">
        <f>P3</f>
        <v>2661030.5486333244</v>
      </c>
    </row>
    <row r="4" spans="2:22">
      <c r="B4" s="10" t="s">
        <v>6</v>
      </c>
      <c r="D4" s="7">
        <v>-16654845.075103201</v>
      </c>
      <c r="E4" s="7"/>
      <c r="F4" s="7">
        <v>-1790051.328476026</v>
      </c>
      <c r="G4" s="7"/>
      <c r="H4" s="7">
        <v>-1405626.430028752</v>
      </c>
      <c r="J4" s="10" t="s">
        <v>14</v>
      </c>
      <c r="K4" s="9">
        <f>D11</f>
        <v>6272109.1529439436</v>
      </c>
      <c r="L4" s="12">
        <f t="shared" ref="L4:L5" si="0">0.15/SQRT(2)</f>
        <v>0.10606601717798211</v>
      </c>
      <c r="M4" s="9">
        <f t="shared" ref="M4:M5" si="1">K4*L4</f>
        <v>665257.63715833111</v>
      </c>
      <c r="P4" s="10"/>
      <c r="Q4" s="10"/>
      <c r="R4" s="10"/>
      <c r="S4" s="14">
        <f>N_rho</f>
        <v>0.6</v>
      </c>
      <c r="T4" s="14">
        <v>0</v>
      </c>
      <c r="U4" s="14">
        <f>N_rho</f>
        <v>0.6</v>
      </c>
      <c r="V4" s="13">
        <f>Q3</f>
        <v>665257.63715833111</v>
      </c>
    </row>
    <row r="5" spans="2:22">
      <c r="B5" s="10" t="s">
        <v>5</v>
      </c>
      <c r="D5" s="9">
        <v>-13942598.869803544</v>
      </c>
      <c r="E5" s="9"/>
      <c r="F5" s="9">
        <v>5.5879354476928711E-8</v>
      </c>
      <c r="G5" s="9"/>
      <c r="H5" s="9">
        <v>-7.0780515670776367E-8</v>
      </c>
      <c r="J5" s="10" t="s">
        <v>15</v>
      </c>
      <c r="K5" s="9">
        <f>D14</f>
        <v>-12544218.305887887</v>
      </c>
      <c r="L5" s="12">
        <f t="shared" si="0"/>
        <v>0.10606601717798211</v>
      </c>
      <c r="M5" s="9">
        <f t="shared" si="1"/>
        <v>-1330515.2743166622</v>
      </c>
      <c r="P5" s="10"/>
      <c r="Q5" s="10"/>
      <c r="R5" s="10"/>
      <c r="S5" s="14">
        <f>N_rho</f>
        <v>0.6</v>
      </c>
      <c r="T5" s="14">
        <f>N_rho</f>
        <v>0.6</v>
      </c>
      <c r="U5" s="14">
        <v>0</v>
      </c>
      <c r="V5" s="13">
        <f>R3</f>
        <v>-1330515.2743166622</v>
      </c>
    </row>
    <row r="6" spans="2:22">
      <c r="B6" s="10"/>
      <c r="P6" s="10"/>
      <c r="Q6" s="10"/>
      <c r="R6" s="10"/>
      <c r="S6" s="15">
        <f t="array" ref="S6:U6">MMULT(P3:R3,S3:U5)</f>
        <v>-399154.58229499863</v>
      </c>
      <c r="T6" s="15">
        <v>798309.16458999726</v>
      </c>
      <c r="U6" s="15">
        <v>1995772.9114749932</v>
      </c>
      <c r="V6" s="10">
        <f t="array" ref="V6">MMULT(S6:U6,V3:V5)</f>
        <v>-3186487611341.897</v>
      </c>
    </row>
    <row r="7" spans="2:22">
      <c r="B7" s="10" t="s">
        <v>7</v>
      </c>
      <c r="D7" s="9">
        <f>SUM(D2:D5)</f>
        <v>25088436.611775775</v>
      </c>
      <c r="E7" s="10"/>
      <c r="F7" s="9">
        <f>SUM(F2:F5)</f>
        <v>-1790051.3284759924</v>
      </c>
      <c r="G7" s="10"/>
      <c r="H7" s="9">
        <f>SUM(H2:H5)</f>
        <v>-1405626.4300288078</v>
      </c>
      <c r="U7" s="10" t="s">
        <v>40</v>
      </c>
      <c r="V7" s="10">
        <f>K3^2+K4^2+K5^2</f>
        <v>826126417755307.12</v>
      </c>
    </row>
    <row r="8" spans="2:22">
      <c r="V8" s="18">
        <f>SQRT(V6+V7)</f>
        <v>28686929.604681734</v>
      </c>
    </row>
    <row r="10" spans="2:22">
      <c r="B10" s="2" t="s">
        <v>9</v>
      </c>
      <c r="C10" s="11"/>
      <c r="D10" s="2" t="s">
        <v>0</v>
      </c>
      <c r="E10" s="2"/>
      <c r="F10" s="2" t="s">
        <v>1</v>
      </c>
      <c r="G10" s="3"/>
      <c r="H10" s="2" t="s">
        <v>2</v>
      </c>
    </row>
    <row r="11" spans="2:22">
      <c r="D11" s="9">
        <f>D7*0.25</f>
        <v>6272109.1529439436</v>
      </c>
      <c r="E11" s="9"/>
      <c r="F11" s="9">
        <f>F7*0.25</f>
        <v>-447512.83211899811</v>
      </c>
      <c r="G11" s="9"/>
      <c r="H11" s="9">
        <f>H7*0.25</f>
        <v>-351406.60750720196</v>
      </c>
      <c r="P11" s="10" t="s">
        <v>18</v>
      </c>
      <c r="Q11" s="10" t="s">
        <v>57</v>
      </c>
      <c r="R11" s="10">
        <f>MIN(N_rho*1.25, 1)</f>
        <v>0.75</v>
      </c>
      <c r="S11" s="10"/>
      <c r="T11" s="10"/>
      <c r="U11" s="10"/>
      <c r="V11" s="10"/>
    </row>
    <row r="12" spans="2:22">
      <c r="P12" s="13">
        <f>P3</f>
        <v>2661030.5486333244</v>
      </c>
      <c r="Q12" s="13">
        <f t="shared" ref="Q12:R12" si="2">Q3</f>
        <v>665257.63715833111</v>
      </c>
      <c r="R12" s="13">
        <f t="shared" si="2"/>
        <v>-1330515.2743166622</v>
      </c>
      <c r="S12" s="14">
        <v>0</v>
      </c>
      <c r="T12" s="14">
        <f>H_rho</f>
        <v>0.75</v>
      </c>
      <c r="U12" s="14">
        <f>H_rho</f>
        <v>0.75</v>
      </c>
      <c r="V12" s="13">
        <f>V3</f>
        <v>2661030.5486333244</v>
      </c>
    </row>
    <row r="13" spans="2:22">
      <c r="B13" s="2" t="s">
        <v>10</v>
      </c>
      <c r="C13" s="11"/>
      <c r="D13" s="2" t="s">
        <v>0</v>
      </c>
      <c r="E13" s="2"/>
      <c r="F13" s="2" t="s">
        <v>1</v>
      </c>
      <c r="G13" s="3"/>
      <c r="H13" s="2" t="s">
        <v>2</v>
      </c>
      <c r="P13" s="10"/>
      <c r="Q13" s="10"/>
      <c r="R13" s="10"/>
      <c r="S13" s="14">
        <f>H_rho</f>
        <v>0.75</v>
      </c>
      <c r="T13" s="14">
        <v>0</v>
      </c>
      <c r="U13" s="14">
        <f>H_rho</f>
        <v>0.75</v>
      </c>
      <c r="V13" s="13">
        <f t="shared" ref="V13:V14" si="3">V4</f>
        <v>665257.63715833111</v>
      </c>
    </row>
    <row r="14" spans="2:22">
      <c r="D14" s="9">
        <f>D7*-0.5</f>
        <v>-12544218.305887887</v>
      </c>
      <c r="E14" s="9"/>
      <c r="F14" s="9">
        <f>F7*-0.5</f>
        <v>895025.66423799621</v>
      </c>
      <c r="G14" s="9"/>
      <c r="H14" s="9">
        <f>H7*-0.5</f>
        <v>702813.21501440392</v>
      </c>
      <c r="P14" s="10"/>
      <c r="Q14" s="10"/>
      <c r="R14" s="10"/>
      <c r="S14" s="14">
        <f>H_rho</f>
        <v>0.75</v>
      </c>
      <c r="T14" s="14">
        <f>H_rho</f>
        <v>0.75</v>
      </c>
      <c r="U14" s="14">
        <v>0</v>
      </c>
      <c r="V14" s="13">
        <f t="shared" si="3"/>
        <v>-1330515.2743166622</v>
      </c>
    </row>
    <row r="15" spans="2:22">
      <c r="P15" s="10"/>
      <c r="Q15" s="10"/>
      <c r="R15" s="10"/>
      <c r="S15" s="15">
        <f t="array" ref="S15:U15">MMULT(P12:R12,S12:U14)</f>
        <v>-498943.22786874836</v>
      </c>
      <c r="T15" s="15">
        <v>997886.45573749673</v>
      </c>
      <c r="U15" s="15">
        <v>2494716.1393437418</v>
      </c>
      <c r="V15" s="19">
        <f>MMULT(S15:U15,V12:V14)</f>
        <v>-3983109514177.3716</v>
      </c>
    </row>
    <row r="16" spans="2:22">
      <c r="P16" s="10"/>
      <c r="Q16" s="10"/>
      <c r="R16" s="10"/>
      <c r="S16" s="10"/>
      <c r="T16" s="10"/>
      <c r="U16" s="10" t="s">
        <v>40</v>
      </c>
      <c r="V16" s="10">
        <f>V7</f>
        <v>826126417755307.12</v>
      </c>
    </row>
    <row r="17" spans="16:22">
      <c r="P17" s="10"/>
      <c r="Q17" s="10"/>
      <c r="R17" s="10"/>
      <c r="S17" s="10"/>
      <c r="T17" s="10"/>
      <c r="U17" s="10"/>
      <c r="V17" s="18">
        <f>SQRT(V15+V16)</f>
        <v>28673041.489195555</v>
      </c>
    </row>
    <row r="18" spans="16:22">
      <c r="P18" s="10"/>
      <c r="Q18" s="10"/>
      <c r="R18" s="10"/>
      <c r="S18" s="10"/>
      <c r="T18" s="10"/>
      <c r="U18" s="10"/>
      <c r="V18" s="10"/>
    </row>
    <row r="19" spans="16:22">
      <c r="P19" s="10"/>
      <c r="Q19" s="10"/>
      <c r="R19" s="10"/>
      <c r="S19" s="10"/>
      <c r="T19" s="10"/>
      <c r="U19" s="10"/>
      <c r="V19" s="10"/>
    </row>
    <row r="20" spans="16:22">
      <c r="P20" s="10" t="s">
        <v>19</v>
      </c>
      <c r="Q20" s="10" t="s">
        <v>57</v>
      </c>
      <c r="R20" s="10">
        <f>MAX(2*N_rho-1, 0.75*N_rho)</f>
        <v>0.44999999999999996</v>
      </c>
      <c r="S20" s="10"/>
      <c r="T20" s="10"/>
      <c r="U20" s="10"/>
      <c r="V20" s="10"/>
    </row>
    <row r="21" spans="16:22">
      <c r="P21" s="13">
        <f>P12</f>
        <v>2661030.5486333244</v>
      </c>
      <c r="Q21" s="13">
        <f t="shared" ref="Q21:R21" si="4">Q12</f>
        <v>665257.63715833111</v>
      </c>
      <c r="R21" s="13">
        <f t="shared" si="4"/>
        <v>-1330515.2743166622</v>
      </c>
      <c r="S21" s="14">
        <v>0</v>
      </c>
      <c r="T21" s="14">
        <f>MAX(2*N_rho-1, 0.75*N_rho)</f>
        <v>0.44999999999999996</v>
      </c>
      <c r="U21" s="14">
        <f>MAX(2*N_rho-1, 0.75*N_rho)</f>
        <v>0.44999999999999996</v>
      </c>
      <c r="V21" s="13">
        <f>V12</f>
        <v>2661030.5486333244</v>
      </c>
    </row>
    <row r="22" spans="16:22">
      <c r="P22" s="10"/>
      <c r="Q22" s="10"/>
      <c r="R22" s="10"/>
      <c r="S22" s="14">
        <f>MAX(2*N_rho-1, 0.75*N_rho)</f>
        <v>0.44999999999999996</v>
      </c>
      <c r="T22" s="14">
        <v>0</v>
      </c>
      <c r="U22" s="14">
        <f>MAX(2*N_rho-1, 0.75*N_rho)</f>
        <v>0.44999999999999996</v>
      </c>
      <c r="V22" s="13">
        <f t="shared" ref="V22:V23" si="5">V13</f>
        <v>665257.63715833111</v>
      </c>
    </row>
    <row r="23" spans="16:22">
      <c r="P23" s="10"/>
      <c r="Q23" s="10"/>
      <c r="R23" s="10"/>
      <c r="S23" s="14">
        <f>MAX(2*N_rho-1, 0.75*N_rho)</f>
        <v>0.44999999999999996</v>
      </c>
      <c r="T23" s="14">
        <f>MAX(2*N_rho-1, 0.75*N_rho)</f>
        <v>0.44999999999999996</v>
      </c>
      <c r="U23" s="14">
        <v>0</v>
      </c>
      <c r="V23" s="13">
        <f t="shared" si="5"/>
        <v>-1330515.2743166622</v>
      </c>
    </row>
    <row r="24" spans="16:22">
      <c r="P24" s="10"/>
      <c r="Q24" s="10"/>
      <c r="R24" s="10"/>
      <c r="S24" s="15">
        <f t="array" ref="S24:U24">MMULT(P21:R21,S21:U23)</f>
        <v>-299365.93672124896</v>
      </c>
      <c r="T24" s="15">
        <v>598731.87344249792</v>
      </c>
      <c r="U24" s="15">
        <v>1496829.6836062449</v>
      </c>
      <c r="V24" s="10">
        <f>MMULT(S24:U24,V21:V23)</f>
        <v>-2389865708506.4229</v>
      </c>
    </row>
    <row r="25" spans="16:22">
      <c r="P25" s="10"/>
      <c r="Q25" s="10"/>
      <c r="R25" s="10"/>
      <c r="S25" s="10"/>
      <c r="T25" s="10"/>
      <c r="U25" s="10" t="s">
        <v>40</v>
      </c>
      <c r="V25" s="10">
        <f>V7</f>
        <v>826126417755307.12</v>
      </c>
    </row>
    <row r="26" spans="16:22">
      <c r="P26" s="10"/>
      <c r="Q26" s="10"/>
      <c r="R26" s="10"/>
      <c r="S26" s="10"/>
      <c r="T26" s="10"/>
      <c r="U26" s="10"/>
      <c r="V26" s="18">
        <f>SQRT(V24+V25)</f>
        <v>28700810.999809757</v>
      </c>
    </row>
    <row r="28" spans="16:22" ht="17.5" thickBot="1"/>
    <row r="29" spans="16:22" ht="17.5" thickBot="1">
      <c r="U29" s="16" t="s">
        <v>20</v>
      </c>
      <c r="V29" s="17">
        <f>MAX(V8,V17,V26)</f>
        <v>28700810.999809757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H34"/>
  <sheetViews>
    <sheetView tabSelected="1" topLeftCell="L1" workbookViewId="0">
      <selection activeCell="Z17" sqref="Z17"/>
    </sheetView>
  </sheetViews>
  <sheetFormatPr defaultRowHeight="17"/>
  <cols>
    <col min="1" max="1" width="4.36328125" customWidth="1"/>
    <col min="2" max="2" width="12.1796875" customWidth="1"/>
    <col min="3" max="3" width="7.81640625" customWidth="1"/>
    <col min="4" max="4" width="17.81640625" customWidth="1"/>
    <col min="5" max="5" width="18.26953125" customWidth="1"/>
    <col min="6" max="6" width="16.453125" customWidth="1"/>
    <col min="7" max="7" width="14.453125" customWidth="1"/>
    <col min="8" max="8" width="16.90625" customWidth="1"/>
    <col min="9" max="9" width="12.54296875" customWidth="1"/>
    <col min="11" max="12" width="11" bestFit="1" customWidth="1"/>
    <col min="13" max="16" width="8.81640625" bestFit="1" customWidth="1"/>
    <col min="17" max="21" width="14.6328125" customWidth="1"/>
    <col min="22" max="22" width="14.81640625" bestFit="1" customWidth="1"/>
    <col min="24" max="24" width="13.26953125" customWidth="1"/>
    <col min="25" max="25" width="14.54296875" customWidth="1"/>
    <col min="26" max="26" width="14.7265625" customWidth="1"/>
    <col min="27" max="27" width="6.7265625" customWidth="1"/>
    <col min="28" max="30" width="10.6328125" customWidth="1"/>
    <col min="31" max="31" width="14.7265625" customWidth="1"/>
    <col min="32" max="32" width="17.7265625" customWidth="1"/>
    <col min="33" max="33" width="16.36328125" customWidth="1"/>
    <col min="34" max="34" width="15.08984375" customWidth="1"/>
  </cols>
  <sheetData>
    <row r="1" spans="2:34"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  <c r="I1" s="2" t="s">
        <v>36</v>
      </c>
    </row>
    <row r="2" spans="2:34">
      <c r="B2" s="10" t="s">
        <v>26</v>
      </c>
      <c r="C2" s="10" t="s">
        <v>28</v>
      </c>
      <c r="D2" s="7">
        <v>-55916.090302746263</v>
      </c>
      <c r="E2" s="7">
        <v>521347.1381044141</v>
      </c>
      <c r="F2" s="10">
        <v>0</v>
      </c>
      <c r="G2" s="10">
        <v>0</v>
      </c>
      <c r="H2" s="10">
        <v>0</v>
      </c>
      <c r="I2" s="10"/>
      <c r="K2" s="10" t="s">
        <v>30</v>
      </c>
      <c r="L2" s="21">
        <v>0.01</v>
      </c>
      <c r="M2" s="10"/>
      <c r="N2" s="10"/>
      <c r="O2" s="10"/>
      <c r="P2" s="10"/>
      <c r="Q2" s="10"/>
      <c r="R2" s="10"/>
      <c r="S2" s="10"/>
      <c r="T2" s="10"/>
      <c r="U2" s="10"/>
      <c r="V2" s="10"/>
      <c r="X2" s="10"/>
      <c r="Y2" s="10" t="s">
        <v>37</v>
      </c>
      <c r="Z2" s="10" t="s">
        <v>38</v>
      </c>
      <c r="AA2" s="10"/>
      <c r="AB2" s="10" t="s">
        <v>33</v>
      </c>
      <c r="AC2" s="21">
        <v>1</v>
      </c>
      <c r="AD2" s="10"/>
      <c r="AE2" s="10"/>
      <c r="AF2" s="10"/>
      <c r="AG2" s="10"/>
      <c r="AH2" s="10"/>
    </row>
    <row r="3" spans="2:34">
      <c r="B3" s="10"/>
      <c r="C3" s="10" t="s">
        <v>27</v>
      </c>
      <c r="D3" s="21">
        <v>1</v>
      </c>
      <c r="E3" s="21">
        <v>1</v>
      </c>
      <c r="F3" s="21">
        <v>1</v>
      </c>
      <c r="G3" s="21">
        <v>1</v>
      </c>
      <c r="H3" s="21">
        <v>1</v>
      </c>
      <c r="I3" s="10"/>
      <c r="K3" s="10" t="s">
        <v>33</v>
      </c>
      <c r="L3" s="21">
        <v>1</v>
      </c>
      <c r="M3" s="10"/>
      <c r="N3" s="10"/>
      <c r="O3" s="10"/>
      <c r="P3" s="10"/>
      <c r="Q3" s="10">
        <v>0.5</v>
      </c>
      <c r="R3" s="10">
        <v>1</v>
      </c>
      <c r="S3" s="10">
        <v>3</v>
      </c>
      <c r="T3" s="10">
        <v>5</v>
      </c>
      <c r="U3" s="10">
        <v>10</v>
      </c>
      <c r="V3" s="10"/>
      <c r="X3" s="10" t="s">
        <v>26</v>
      </c>
      <c r="Y3" s="9">
        <f>V10</f>
        <v>466053.84737650887</v>
      </c>
      <c r="Z3" s="9">
        <f>I4</f>
        <v>465431.04780166782</v>
      </c>
      <c r="AA3" s="10"/>
      <c r="AB3" s="13">
        <f>Z3</f>
        <v>465431.04780166782</v>
      </c>
      <c r="AC3" s="13">
        <f>Z4</f>
        <v>116357.76195041696</v>
      </c>
      <c r="AD3" s="13">
        <f>Z5</f>
        <v>232715.52390083391</v>
      </c>
      <c r="AE3" s="22">
        <v>0</v>
      </c>
      <c r="AF3" s="22">
        <f>AE4</f>
        <v>0.6</v>
      </c>
      <c r="AG3" s="22">
        <f>AE5</f>
        <v>0.6</v>
      </c>
      <c r="AH3" s="13">
        <f>AB3</f>
        <v>465431.04780166782</v>
      </c>
    </row>
    <row r="4" spans="2:34">
      <c r="B4" s="10"/>
      <c r="C4" s="10" t="s">
        <v>29</v>
      </c>
      <c r="D4" s="9">
        <f>D2*D3</f>
        <v>-55916.090302746263</v>
      </c>
      <c r="E4" s="9">
        <f t="shared" ref="E4:H4" si="0">E2*E3</f>
        <v>521347.1381044141</v>
      </c>
      <c r="F4" s="9">
        <f t="shared" si="0"/>
        <v>0</v>
      </c>
      <c r="G4" s="9">
        <f t="shared" si="0"/>
        <v>0</v>
      </c>
      <c r="H4" s="9">
        <f t="shared" si="0"/>
        <v>0</v>
      </c>
      <c r="I4" s="9">
        <f>SUM(D4:H4)</f>
        <v>465431.04780166782</v>
      </c>
      <c r="K4" s="13">
        <f>D4</f>
        <v>-55916.090302746263</v>
      </c>
      <c r="L4" s="13">
        <f>E4</f>
        <v>521347.1381044141</v>
      </c>
      <c r="M4" s="13">
        <f>F4</f>
        <v>0</v>
      </c>
      <c r="N4" s="13">
        <f>G4</f>
        <v>0</v>
      </c>
      <c r="O4" s="13">
        <f>H4</f>
        <v>0</v>
      </c>
      <c r="P4" s="10">
        <v>0.5</v>
      </c>
      <c r="Q4" s="14">
        <f>EXP(-0.01*ABS(Q3-P4)/MIN(Q3,P4))</f>
        <v>1</v>
      </c>
      <c r="R4" s="22">
        <f>Q5</f>
        <v>0.99004983374916811</v>
      </c>
      <c r="S4" s="22">
        <f>Q6</f>
        <v>0.98019867330675525</v>
      </c>
      <c r="T4" s="22">
        <f>Q7</f>
        <v>0.96078943915232318</v>
      </c>
      <c r="U4" s="22">
        <f>Q8</f>
        <v>0.91393118527122819</v>
      </c>
      <c r="V4" s="13">
        <f>K4</f>
        <v>-55916.090302746263</v>
      </c>
      <c r="X4" s="10" t="s">
        <v>31</v>
      </c>
      <c r="Y4" s="9">
        <f>Y3*0.25</f>
        <v>116513.46184412722</v>
      </c>
      <c r="Z4" s="9">
        <f>Z3*0.25</f>
        <v>116357.76195041696</v>
      </c>
      <c r="AA4" s="10"/>
      <c r="AB4" s="10"/>
      <c r="AC4" s="10"/>
      <c r="AD4" s="10"/>
      <c r="AE4" s="22">
        <v>0.6</v>
      </c>
      <c r="AF4" s="22">
        <v>0</v>
      </c>
      <c r="AG4" s="22">
        <f>AF5</f>
        <v>0.6</v>
      </c>
      <c r="AH4" s="13">
        <f>AC3</f>
        <v>116357.76195041696</v>
      </c>
    </row>
    <row r="5" spans="2:34">
      <c r="K5" s="10"/>
      <c r="L5" s="10"/>
      <c r="M5" s="10"/>
      <c r="N5" s="10"/>
      <c r="O5" s="10"/>
      <c r="P5" s="10">
        <v>1</v>
      </c>
      <c r="Q5" s="22">
        <f>EXP(-0.01*ABS(Q3-P5)/MIN(Q3,P5))</f>
        <v>0.99004983374916811</v>
      </c>
      <c r="R5" s="22">
        <f>EXP(-0.01*ABS(R3-P5)/MIN(R3,P5))</f>
        <v>1</v>
      </c>
      <c r="S5" s="22">
        <f>R6</f>
        <v>0.98019867330675525</v>
      </c>
      <c r="T5" s="22">
        <f>R7</f>
        <v>0.96078943915232318</v>
      </c>
      <c r="U5" s="22">
        <f>R8</f>
        <v>0.91393118527122819</v>
      </c>
      <c r="V5" s="13">
        <f>L4</f>
        <v>521347.1381044141</v>
      </c>
      <c r="X5" s="10" t="s">
        <v>32</v>
      </c>
      <c r="Y5" s="9">
        <f>Y3*0.5</f>
        <v>233026.92368825444</v>
      </c>
      <c r="Z5" s="9">
        <f>Z3*0.5</f>
        <v>232715.52390083391</v>
      </c>
      <c r="AA5" s="10"/>
      <c r="AB5" s="10"/>
      <c r="AC5" s="10"/>
      <c r="AD5" s="10"/>
      <c r="AE5" s="22">
        <v>0.6</v>
      </c>
      <c r="AF5" s="22">
        <v>0.6</v>
      </c>
      <c r="AG5" s="22">
        <v>0</v>
      </c>
      <c r="AH5" s="13">
        <f>AD3</f>
        <v>232715.52390083391</v>
      </c>
    </row>
    <row r="6" spans="2:34">
      <c r="K6" s="10"/>
      <c r="L6" s="10"/>
      <c r="M6" s="10"/>
      <c r="N6" s="10"/>
      <c r="O6" s="10"/>
      <c r="P6" s="10">
        <v>3</v>
      </c>
      <c r="Q6" s="22">
        <f>EXP(-0.01*ABS(Q4-P6)/MIN(Q4,P6))</f>
        <v>0.98019867330675525</v>
      </c>
      <c r="R6" s="22">
        <f>EXP(-0.01*ABS(R3-P6)/MIN(R3,P6))</f>
        <v>0.98019867330675525</v>
      </c>
      <c r="S6" s="22">
        <f>EXP(-0.01*ABS(S3-P6)/MIN(S3,P6))</f>
        <v>1</v>
      </c>
      <c r="T6" s="22">
        <f>S7</f>
        <v>0.99335550625503444</v>
      </c>
      <c r="U6" s="22">
        <f>S8</f>
        <v>0.97693678389834759</v>
      </c>
      <c r="V6" s="13">
        <f>M4</f>
        <v>0</v>
      </c>
      <c r="X6" s="10"/>
      <c r="Y6" s="10"/>
      <c r="Z6" s="10"/>
      <c r="AA6" s="10"/>
      <c r="AB6" s="10"/>
      <c r="AC6" s="10"/>
      <c r="AD6" s="10"/>
      <c r="AE6" s="10">
        <f t="array" ref="AE6:AG6">MMULT(AB3:AD3,AE3:AG5)</f>
        <v>209443.9715107505</v>
      </c>
      <c r="AF6" s="10">
        <v>418887.94302150101</v>
      </c>
      <c r="AG6" s="10">
        <v>349073.28585125087</v>
      </c>
      <c r="AH6" s="10">
        <f>MMULT(AE6:AG6,AH3:AH5)</f>
        <v>227457363270.6463</v>
      </c>
    </row>
    <row r="7" spans="2:34">
      <c r="K7" s="10"/>
      <c r="L7" s="10"/>
      <c r="M7" s="10"/>
      <c r="N7" s="10"/>
      <c r="O7" s="10"/>
      <c r="P7" s="10">
        <v>5</v>
      </c>
      <c r="Q7" s="22">
        <f>EXP(-0.01*ABS(Q4-P7)/MIN(Q4,P7))</f>
        <v>0.96078943915232318</v>
      </c>
      <c r="R7" s="22">
        <f>EXP(-0.01*ABS(R3-P7)/MIN(R3,P7))</f>
        <v>0.96078943915232318</v>
      </c>
      <c r="S7" s="22">
        <f>EXP(-0.01*ABS(S3-P7)/MIN(S3,P7))</f>
        <v>0.99335550625503444</v>
      </c>
      <c r="T7" s="22">
        <f>EXP(-0.01*ABS(T3-P7)/MIN(T3,P7))</f>
        <v>1</v>
      </c>
      <c r="U7" s="22">
        <f>T8</f>
        <v>0.99004983374916811</v>
      </c>
      <c r="V7" s="13">
        <f>N4</f>
        <v>0</v>
      </c>
      <c r="X7" s="10"/>
      <c r="Y7" s="10"/>
      <c r="Z7" s="10"/>
      <c r="AA7" s="10"/>
      <c r="AB7" s="10"/>
      <c r="AC7" s="10"/>
      <c r="AD7" s="10"/>
      <c r="AE7" s="10"/>
      <c r="AF7" s="10"/>
      <c r="AG7" s="10" t="s">
        <v>39</v>
      </c>
      <c r="AH7" s="10">
        <f>Y3^2+Y4^2+Y5^2</f>
        <v>285083122608.96069</v>
      </c>
    </row>
    <row r="8" spans="2:34">
      <c r="K8" s="10"/>
      <c r="L8" s="10"/>
      <c r="M8" s="10"/>
      <c r="N8" s="10"/>
      <c r="O8" s="10"/>
      <c r="P8" s="10">
        <v>10</v>
      </c>
      <c r="Q8" s="22">
        <f>EXP(-0.01*ABS(Q4-P8)/MIN(Q4,P8))</f>
        <v>0.91393118527122819</v>
      </c>
      <c r="R8" s="22">
        <f>EXP(-0.01*ABS(R3-P8)/MIN(R3,P8))</f>
        <v>0.91393118527122819</v>
      </c>
      <c r="S8" s="22">
        <f>EXP(-0.01*ABS(S3-P8)/MIN(S3,P8))</f>
        <v>0.97693678389834759</v>
      </c>
      <c r="T8" s="22">
        <f>EXP(-0.01*ABS(T3-P8)/MIN(T3,P8))</f>
        <v>0.99004983374916811</v>
      </c>
      <c r="U8" s="22">
        <f>EXP(-0.01*ABS(U3-P8)/MIN(U3,P8))</f>
        <v>1</v>
      </c>
      <c r="V8" s="13">
        <f>O4</f>
        <v>0</v>
      </c>
      <c r="X8" s="10"/>
      <c r="Y8" s="10"/>
      <c r="Z8" s="10"/>
      <c r="AA8" s="10"/>
      <c r="AB8" s="10"/>
      <c r="AC8" s="10"/>
      <c r="AD8" s="10"/>
      <c r="AE8" s="10"/>
      <c r="AF8" s="10"/>
      <c r="AG8" s="10"/>
      <c r="AH8" s="9">
        <f>SQRT(AH6+AH7)</f>
        <v>715919.32917026826</v>
      </c>
    </row>
    <row r="9" spans="2:34">
      <c r="K9" s="10"/>
      <c r="L9" s="10"/>
      <c r="M9" s="10"/>
      <c r="N9" s="10"/>
      <c r="O9" s="10"/>
      <c r="P9" s="10"/>
      <c r="Q9" s="10">
        <f t="array" ref="Q9:U9">MMULT(K4:O4,Q4:U8)</f>
        <v>460243.55710313347</v>
      </c>
      <c r="R9" s="10">
        <v>465987.42219627672</v>
      </c>
      <c r="S9" s="10">
        <v>456214.89557096781</v>
      </c>
      <c r="T9" s="10">
        <v>447181.23538144253</v>
      </c>
      <c r="U9" s="10">
        <v>425371.94917940797</v>
      </c>
      <c r="V9" s="10">
        <f t="array" ref="V9">MMULT(Q9:U9,V4:V8)</f>
        <v>217206188654.44623</v>
      </c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2:34"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8">
        <f>SQRT(V9)</f>
        <v>466053.84737650887</v>
      </c>
      <c r="X10" s="10"/>
      <c r="Y10" s="10" t="str">
        <f t="shared" ref="Y10:Z10" si="1">Y2</f>
        <v>K</v>
      </c>
      <c r="Z10" s="10" t="str">
        <f t="shared" si="1"/>
        <v>S</v>
      </c>
      <c r="AA10" s="10"/>
      <c r="AB10" s="10" t="s">
        <v>34</v>
      </c>
      <c r="AC10" s="21">
        <f>MIN(1.25*AE4, 1)</f>
        <v>0.75</v>
      </c>
      <c r="AD10" s="10"/>
      <c r="AE10" s="10"/>
      <c r="AF10" s="10"/>
      <c r="AG10" s="10"/>
      <c r="AH10" s="10"/>
    </row>
    <row r="11" spans="2:34">
      <c r="K11" s="10"/>
      <c r="L11" s="10"/>
      <c r="M11" s="10"/>
      <c r="N11" s="10"/>
      <c r="O11" s="10"/>
      <c r="P11" s="10"/>
      <c r="X11" s="10" t="str">
        <f t="shared" ref="X11:Z11" si="2">X3</f>
        <v>USD/TWD</v>
      </c>
      <c r="Y11" s="25">
        <f>V19</f>
        <v>465431.04780166782</v>
      </c>
      <c r="Z11" s="25">
        <f t="shared" si="2"/>
        <v>465431.04780166782</v>
      </c>
      <c r="AA11" s="10"/>
      <c r="AB11" s="13">
        <f>AB3</f>
        <v>465431.04780166782</v>
      </c>
      <c r="AC11" s="13">
        <f t="shared" ref="AC11:AE11" si="3">AC3</f>
        <v>116357.76195041696</v>
      </c>
      <c r="AD11" s="13">
        <f t="shared" si="3"/>
        <v>232715.52390083391</v>
      </c>
      <c r="AE11" s="23">
        <f t="shared" si="3"/>
        <v>0</v>
      </c>
      <c r="AF11" s="23">
        <f>AE12</f>
        <v>0.75</v>
      </c>
      <c r="AG11" s="23">
        <f>AE13</f>
        <v>0.75</v>
      </c>
      <c r="AH11" s="13">
        <f>AH3</f>
        <v>465431.04780166782</v>
      </c>
    </row>
    <row r="12" spans="2:34">
      <c r="K12" s="10" t="s">
        <v>34</v>
      </c>
      <c r="L12" s="10"/>
      <c r="M12" s="10"/>
      <c r="N12" s="10"/>
      <c r="O12" s="10"/>
      <c r="P12" s="10"/>
      <c r="Q12" s="10">
        <f>Q3</f>
        <v>0.5</v>
      </c>
      <c r="R12" s="10">
        <f>R3</f>
        <v>1</v>
      </c>
      <c r="S12" s="10">
        <f>S3</f>
        <v>3</v>
      </c>
      <c r="T12" s="10">
        <f>T3</f>
        <v>5</v>
      </c>
      <c r="U12" s="10">
        <f>U3</f>
        <v>10</v>
      </c>
      <c r="V12" s="10"/>
      <c r="X12" s="10" t="str">
        <f t="shared" ref="X12:Z12" si="4">X4</f>
        <v>USD/EUR</v>
      </c>
      <c r="Y12" s="9">
        <f>Y11*0.25</f>
        <v>116357.76195041696</v>
      </c>
      <c r="Z12" s="9">
        <f>Z11*0.25</f>
        <v>116357.76195041696</v>
      </c>
      <c r="AA12" s="10"/>
      <c r="AB12" s="10"/>
      <c r="AC12" s="10"/>
      <c r="AD12" s="10"/>
      <c r="AE12" s="23">
        <f>AC10</f>
        <v>0.75</v>
      </c>
      <c r="AF12" s="23">
        <f t="shared" ref="AF12:AH12" si="5">AF4</f>
        <v>0</v>
      </c>
      <c r="AG12" s="23">
        <f>AE12</f>
        <v>0.75</v>
      </c>
      <c r="AH12" s="13">
        <f t="shared" si="5"/>
        <v>116357.76195041696</v>
      </c>
    </row>
    <row r="13" spans="2:34">
      <c r="K13" s="13">
        <f>K4</f>
        <v>-55916.090302746263</v>
      </c>
      <c r="L13" s="13">
        <f>L4</f>
        <v>521347.1381044141</v>
      </c>
      <c r="M13" s="13">
        <f>M4</f>
        <v>0</v>
      </c>
      <c r="N13" s="13">
        <f>N4</f>
        <v>0</v>
      </c>
      <c r="O13" s="13">
        <f>O4</f>
        <v>0</v>
      </c>
      <c r="P13" s="24">
        <f>P4</f>
        <v>0.5</v>
      </c>
      <c r="Q13" s="23">
        <f>MIN(Q4*1.25, 1)</f>
        <v>1</v>
      </c>
      <c r="R13" s="23">
        <f>MIN(R4*1.25, 1)</f>
        <v>1</v>
      </c>
      <c r="S13" s="23">
        <f>MIN(S4*1.25, 1)</f>
        <v>1</v>
      </c>
      <c r="T13" s="23">
        <f>MIN(T4*1.25, 1)</f>
        <v>1</v>
      </c>
      <c r="U13" s="23">
        <f>MIN(U4*1.25, 1)</f>
        <v>1</v>
      </c>
      <c r="V13" s="13">
        <f>V4</f>
        <v>-55916.090302746263</v>
      </c>
      <c r="X13" s="10" t="str">
        <f t="shared" ref="X13:Z13" si="6">X5</f>
        <v>USD/JPY</v>
      </c>
      <c r="Y13" s="9">
        <f>Y11*0.5</f>
        <v>232715.52390083391</v>
      </c>
      <c r="Z13" s="9">
        <f>Z11*0.5</f>
        <v>232715.52390083391</v>
      </c>
      <c r="AA13" s="10"/>
      <c r="AB13" s="10"/>
      <c r="AC13" s="10"/>
      <c r="AD13" s="10"/>
      <c r="AE13" s="23">
        <f>AE12</f>
        <v>0.75</v>
      </c>
      <c r="AF13" s="23">
        <f>AE13</f>
        <v>0.75</v>
      </c>
      <c r="AG13" s="23">
        <f t="shared" ref="AG13:AH13" si="7">AG5</f>
        <v>0</v>
      </c>
      <c r="AH13" s="13">
        <f t="shared" si="7"/>
        <v>232715.52390083391</v>
      </c>
    </row>
    <row r="14" spans="2:34">
      <c r="D14" s="20"/>
      <c r="E14" s="20"/>
      <c r="K14" s="10"/>
      <c r="L14" s="10"/>
      <c r="M14" s="10"/>
      <c r="N14" s="10"/>
      <c r="O14" s="10"/>
      <c r="P14" s="24">
        <f>P5</f>
        <v>1</v>
      </c>
      <c r="Q14" s="23">
        <f>MIN(Q5*1.25, 1)</f>
        <v>1</v>
      </c>
      <c r="R14" s="23">
        <f>MIN(R5*1.25, 1)</f>
        <v>1</v>
      </c>
      <c r="S14" s="23">
        <f>MIN(S5*1.25, 1)</f>
        <v>1</v>
      </c>
      <c r="T14" s="23">
        <f>MIN(T5*1.25, 1)</f>
        <v>1</v>
      </c>
      <c r="U14" s="23">
        <f>MIN(U5*1.25, 1)</f>
        <v>1</v>
      </c>
      <c r="V14" s="13">
        <f>V5</f>
        <v>521347.1381044141</v>
      </c>
      <c r="X14" s="10"/>
      <c r="Y14" s="10"/>
      <c r="Z14" s="10"/>
      <c r="AA14" s="10"/>
      <c r="AB14" s="10"/>
      <c r="AC14" s="10"/>
      <c r="AD14" s="10"/>
      <c r="AE14" s="10">
        <f t="array" ref="AE14:AG14">MMULT(AB11:AD11,AE11:AG13)</f>
        <v>261804.96438843815</v>
      </c>
      <c r="AF14" s="10">
        <v>523609.9287768763</v>
      </c>
      <c r="AG14" s="10">
        <v>436341.60731406359</v>
      </c>
      <c r="AH14" s="10">
        <f>MMULT(AE14:AG14,AH11:AH13)</f>
        <v>284321704088.30786</v>
      </c>
    </row>
    <row r="15" spans="2:34">
      <c r="K15" s="10"/>
      <c r="L15" s="10"/>
      <c r="M15" s="10"/>
      <c r="N15" s="10"/>
      <c r="O15" s="10"/>
      <c r="P15" s="24">
        <f>P6</f>
        <v>3</v>
      </c>
      <c r="Q15" s="23">
        <f>MIN(Q6*1.25, 1)</f>
        <v>1</v>
      </c>
      <c r="R15" s="23">
        <f>MIN(R6*1.25, 1)</f>
        <v>1</v>
      </c>
      <c r="S15" s="23">
        <f>MIN(S6*1.25, 1)</f>
        <v>1</v>
      </c>
      <c r="T15" s="23">
        <f>MIN(T6*1.25, 1)</f>
        <v>1</v>
      </c>
      <c r="U15" s="23">
        <f>MIN(U6*1.25, 1)</f>
        <v>1</v>
      </c>
      <c r="V15" s="13">
        <f>V6</f>
        <v>0</v>
      </c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>
        <f>AH7</f>
        <v>285083122608.96069</v>
      </c>
    </row>
    <row r="16" spans="2:34">
      <c r="K16" s="10"/>
      <c r="L16" s="10"/>
      <c r="M16" s="10"/>
      <c r="N16" s="10"/>
      <c r="O16" s="10"/>
      <c r="P16" s="24">
        <f>P7</f>
        <v>5</v>
      </c>
      <c r="Q16" s="23">
        <f>MIN(Q7*1.25, 1)</f>
        <v>1</v>
      </c>
      <c r="R16" s="23">
        <f>MIN(R7*1.25, 1)</f>
        <v>1</v>
      </c>
      <c r="S16" s="23">
        <f>MIN(S7*1.25, 1)</f>
        <v>1</v>
      </c>
      <c r="T16" s="23">
        <f>MIN(T7*1.25, 1)</f>
        <v>1</v>
      </c>
      <c r="U16" s="23">
        <f>MIN(U7*1.25, 1)</f>
        <v>1</v>
      </c>
      <c r="V16" s="13">
        <f>V7</f>
        <v>0</v>
      </c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9">
        <f>SQRT(AH14+AH15)</f>
        <v>754589.17743184511</v>
      </c>
    </row>
    <row r="17" spans="11:34">
      <c r="K17" s="10"/>
      <c r="L17" s="10"/>
      <c r="M17" s="10"/>
      <c r="N17" s="10"/>
      <c r="O17" s="10"/>
      <c r="P17" s="24">
        <f>P8</f>
        <v>10</v>
      </c>
      <c r="Q17" s="23">
        <f>MIN(Q8*1.25, 1)</f>
        <v>1</v>
      </c>
      <c r="R17" s="23">
        <f>MIN(R8*1.25, 1)</f>
        <v>1</v>
      </c>
      <c r="S17" s="23">
        <f>MIN(S8*1.25, 1)</f>
        <v>1</v>
      </c>
      <c r="T17" s="23">
        <f>MIN(T8*1.25, 1)</f>
        <v>1</v>
      </c>
      <c r="U17" s="23">
        <f>MIN(U8*1.25, 1)</f>
        <v>1</v>
      </c>
      <c r="V17" s="13">
        <f>V8</f>
        <v>0</v>
      </c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1:34">
      <c r="K18" s="10"/>
      <c r="L18" s="10"/>
      <c r="M18" s="10"/>
      <c r="N18" s="10"/>
      <c r="O18" s="10"/>
      <c r="P18" s="10"/>
      <c r="Q18" s="10">
        <f t="array" ref="Q18:U18">MMULT(K13:O13,Q13:U17)</f>
        <v>465431.04780166782</v>
      </c>
      <c r="R18" s="10">
        <v>465431.04780166782</v>
      </c>
      <c r="S18" s="10">
        <v>465431.04780166782</v>
      </c>
      <c r="T18" s="10">
        <v>465431.04780166782</v>
      </c>
      <c r="U18" s="10">
        <v>465431.04780166782</v>
      </c>
      <c r="V18" s="10">
        <f t="array" ref="V18">MMULT(Q18:U18,V13:V17)</f>
        <v>216626060257.75842</v>
      </c>
      <c r="X18" s="10"/>
      <c r="Y18" s="10" t="str">
        <f>Y10</f>
        <v>K</v>
      </c>
      <c r="Z18" s="10" t="str">
        <f>Z10</f>
        <v>S</v>
      </c>
      <c r="AA18" s="10"/>
      <c r="AB18" s="10" t="s">
        <v>35</v>
      </c>
      <c r="AC18" s="21">
        <f>MAX(2*AE4-1, 0.75*AE4)</f>
        <v>0.44999999999999996</v>
      </c>
      <c r="AD18" s="10"/>
      <c r="AE18" s="10"/>
      <c r="AF18" s="10"/>
      <c r="AG18" s="10"/>
      <c r="AH18" s="10"/>
    </row>
    <row r="19" spans="11:34"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8">
        <f>SQRT(V18)</f>
        <v>465431.04780166782</v>
      </c>
      <c r="X19" s="10" t="str">
        <f>X11</f>
        <v>USD/TWD</v>
      </c>
      <c r="Y19" s="25">
        <f>V28</f>
        <v>466675.81579843414</v>
      </c>
      <c r="Z19" s="25">
        <f t="shared" ref="Y19:Z19" si="8">Z11</f>
        <v>465431.04780166782</v>
      </c>
      <c r="AA19" s="10"/>
      <c r="AB19" s="13">
        <f>AB11</f>
        <v>465431.04780166782</v>
      </c>
      <c r="AC19" s="13">
        <f t="shared" ref="AC19:AD19" si="9">AC11</f>
        <v>116357.76195041696</v>
      </c>
      <c r="AD19" s="13">
        <f t="shared" si="9"/>
        <v>232715.52390083391</v>
      </c>
      <c r="AE19" s="23">
        <f>AE11</f>
        <v>0</v>
      </c>
      <c r="AF19" s="23">
        <f>AE20</f>
        <v>0.44999999999999996</v>
      </c>
      <c r="AG19" s="23">
        <f>AE20</f>
        <v>0.44999999999999996</v>
      </c>
      <c r="AH19" s="13">
        <f>AH11</f>
        <v>465431.04780166782</v>
      </c>
    </row>
    <row r="20" spans="11:34">
      <c r="X20" s="10" t="str">
        <f t="shared" ref="X20:X21" si="10">X12</f>
        <v>USD/EUR</v>
      </c>
      <c r="Y20" s="9">
        <f>Y19*0.25</f>
        <v>116668.95394960853</v>
      </c>
      <c r="Z20" s="9">
        <f>Z19*0.25</f>
        <v>116357.76195041696</v>
      </c>
      <c r="AA20" s="10"/>
      <c r="AB20" s="10"/>
      <c r="AC20" s="10"/>
      <c r="AD20" s="10"/>
      <c r="AE20" s="23">
        <f>AC18</f>
        <v>0.44999999999999996</v>
      </c>
      <c r="AF20" s="23">
        <f>AF12</f>
        <v>0</v>
      </c>
      <c r="AG20" s="23">
        <f>AF21</f>
        <v>0.44999999999999996</v>
      </c>
      <c r="AH20" s="13">
        <f t="shared" ref="AH20:AH21" si="11">AH12</f>
        <v>116357.76195041696</v>
      </c>
    </row>
    <row r="21" spans="11:34">
      <c r="K21" s="10" t="s">
        <v>35</v>
      </c>
      <c r="L21" s="10"/>
      <c r="M21" s="10"/>
      <c r="N21" s="10"/>
      <c r="O21" s="10"/>
      <c r="P21" s="10"/>
      <c r="Q21" s="10">
        <f>Q12</f>
        <v>0.5</v>
      </c>
      <c r="R21" s="10">
        <f>R12</f>
        <v>1</v>
      </c>
      <c r="S21" s="10">
        <f>S12</f>
        <v>3</v>
      </c>
      <c r="T21" s="10">
        <f>T12</f>
        <v>5</v>
      </c>
      <c r="U21" s="10">
        <f>U12</f>
        <v>10</v>
      </c>
      <c r="V21" s="10"/>
      <c r="X21" s="10" t="str">
        <f t="shared" si="10"/>
        <v>USD/JPY</v>
      </c>
      <c r="Y21" s="9">
        <f>Y19*0.5</f>
        <v>233337.90789921707</v>
      </c>
      <c r="Z21" s="9">
        <f>Z19*0.5</f>
        <v>232715.52390083391</v>
      </c>
      <c r="AA21" s="10"/>
      <c r="AB21" s="10"/>
      <c r="AC21" s="10"/>
      <c r="AD21" s="10"/>
      <c r="AE21" s="23">
        <f>AE20</f>
        <v>0.44999999999999996</v>
      </c>
      <c r="AF21" s="23">
        <f>AE21</f>
        <v>0.44999999999999996</v>
      </c>
      <c r="AG21" s="23">
        <f>AG13</f>
        <v>0</v>
      </c>
      <c r="AH21" s="13">
        <f t="shared" si="11"/>
        <v>232715.52390083391</v>
      </c>
    </row>
    <row r="22" spans="11:34">
      <c r="K22" s="13">
        <f>K13</f>
        <v>-55916.090302746263</v>
      </c>
      <c r="L22" s="13">
        <f>L13</f>
        <v>521347.1381044141</v>
      </c>
      <c r="M22" s="13">
        <f>M13</f>
        <v>0</v>
      </c>
      <c r="N22" s="13">
        <f>N13</f>
        <v>0</v>
      </c>
      <c r="O22" s="13">
        <f>O13</f>
        <v>0</v>
      </c>
      <c r="P22" s="24">
        <f>P13</f>
        <v>0.5</v>
      </c>
      <c r="Q22" s="23">
        <f>MAX(2*Q4-1, 0.75*Q4)</f>
        <v>1</v>
      </c>
      <c r="R22" s="23">
        <f>MAX(2*R4-1, 0.75*R4)</f>
        <v>0.98009966749833621</v>
      </c>
      <c r="S22" s="23">
        <f>MAX(2*S4-1, 0.75*S4)</f>
        <v>0.96039734661351051</v>
      </c>
      <c r="T22" s="23">
        <f>MAX(2*T4-1, 0.75*T4)</f>
        <v>0.92157887830464635</v>
      </c>
      <c r="U22" s="23">
        <f>MAX(2*U4-1, 0.75*U4)</f>
        <v>0.82786237054245637</v>
      </c>
      <c r="V22" s="13">
        <f>V13</f>
        <v>-55916.090302746263</v>
      </c>
      <c r="X22" s="10"/>
      <c r="Y22" s="10"/>
      <c r="Z22" s="10"/>
      <c r="AA22" s="10"/>
      <c r="AB22" s="10"/>
      <c r="AC22" s="10"/>
      <c r="AD22" s="10"/>
      <c r="AE22" s="10">
        <f t="array" ref="AE22:AG22">MMULT(AB19:AD19,AE19:AG21)</f>
        <v>157082.97863306288</v>
      </c>
      <c r="AF22" s="10">
        <v>314165.95726612577</v>
      </c>
      <c r="AG22" s="10">
        <v>261804.96438843812</v>
      </c>
      <c r="AH22" s="10">
        <f>MMULT(AE22:AG22,AH19:AH21)</f>
        <v>170593022452.98471</v>
      </c>
    </row>
    <row r="23" spans="11:34">
      <c r="K23" s="10"/>
      <c r="L23" s="10"/>
      <c r="M23" s="10"/>
      <c r="N23" s="10"/>
      <c r="O23" s="10"/>
      <c r="P23" s="24">
        <f>P14</f>
        <v>1</v>
      </c>
      <c r="Q23" s="23">
        <f>MAX(2*Q5-1, 0.75*Q5)</f>
        <v>0.98009966749833621</v>
      </c>
      <c r="R23" s="23">
        <f>MAX(2*R5-1, 0.75*R5)</f>
        <v>1</v>
      </c>
      <c r="S23" s="23">
        <f>MAX(2*S5-1, 0.75*S5)</f>
        <v>0.96039734661351051</v>
      </c>
      <c r="T23" s="23">
        <f>MAX(2*T5-1, 0.75*T5)</f>
        <v>0.92157887830464635</v>
      </c>
      <c r="U23" s="23">
        <f>MAX(2*U5-1, 0.75*U5)</f>
        <v>0.82786237054245637</v>
      </c>
      <c r="V23" s="13">
        <f>V14</f>
        <v>521347.1381044141</v>
      </c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>
        <f>AH15</f>
        <v>285083122608.96069</v>
      </c>
    </row>
    <row r="24" spans="11:34">
      <c r="K24" s="10"/>
      <c r="L24" s="10"/>
      <c r="M24" s="10"/>
      <c r="N24" s="10"/>
      <c r="O24" s="10"/>
      <c r="P24" s="24">
        <f>P15</f>
        <v>3</v>
      </c>
      <c r="Q24" s="23">
        <f>MAX(2*Q6-1, 0.75*Q6)</f>
        <v>0.96039734661351051</v>
      </c>
      <c r="R24" s="23">
        <f>MAX(2*R6-1, 0.75*R6)</f>
        <v>0.96039734661351051</v>
      </c>
      <c r="S24" s="23">
        <f>MAX(2*S6-1, 0.75*S6)</f>
        <v>1</v>
      </c>
      <c r="T24" s="23">
        <f>MAX(2*T6-1, 0.75*T6)</f>
        <v>0.98671101251006887</v>
      </c>
      <c r="U24" s="23">
        <f>MAX(2*U6-1, 0.75*U6)</f>
        <v>0.95387356779669519</v>
      </c>
      <c r="V24" s="13">
        <f>V15</f>
        <v>0</v>
      </c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9">
        <f>SQRT(AH22+AH23)</f>
        <v>675037.884167952</v>
      </c>
    </row>
    <row r="25" spans="11:34">
      <c r="K25" s="10"/>
      <c r="L25" s="10"/>
      <c r="M25" s="10"/>
      <c r="N25" s="10"/>
      <c r="O25" s="10"/>
      <c r="P25" s="24">
        <f>P16</f>
        <v>5</v>
      </c>
      <c r="Q25" s="23">
        <f>MAX(2*Q7-1, 0.75*Q7)</f>
        <v>0.92157887830464635</v>
      </c>
      <c r="R25" s="23">
        <f>MAX(2*R7-1, 0.75*R7)</f>
        <v>0.92157887830464635</v>
      </c>
      <c r="S25" s="23">
        <f>MAX(2*S7-1, 0.75*S7)</f>
        <v>0.98671101251006887</v>
      </c>
      <c r="T25" s="23">
        <f>MAX(2*T7-1, 0.75*T7)</f>
        <v>1</v>
      </c>
      <c r="U25" s="23">
        <f>MAX(2*U7-1, 0.75*U7)</f>
        <v>0.98009966749833621</v>
      </c>
      <c r="V25" s="13">
        <f>V16</f>
        <v>0</v>
      </c>
    </row>
    <row r="26" spans="11:34" ht="17.5" thickBot="1">
      <c r="K26" s="10"/>
      <c r="L26" s="10"/>
      <c r="M26" s="10"/>
      <c r="N26" s="10"/>
      <c r="O26" s="10"/>
      <c r="P26" s="24">
        <f>P17</f>
        <v>10</v>
      </c>
      <c r="Q26" s="23">
        <f>MAX(2*Q8-1, 0.75*Q8)</f>
        <v>0.82786237054245637</v>
      </c>
      <c r="R26" s="23">
        <f>MAX(2*R8-1, 0.75*R8)</f>
        <v>0.82786237054245637</v>
      </c>
      <c r="S26" s="23">
        <f>MAX(2*S8-1, 0.75*S8)</f>
        <v>0.95387356779669519</v>
      </c>
      <c r="T26" s="23">
        <f>MAX(2*T8-1, 0.75*T8)</f>
        <v>0.98009966749833621</v>
      </c>
      <c r="U26" s="23">
        <f>MAX(2*U8-1, 0.75*U8)</f>
        <v>1</v>
      </c>
      <c r="V26" s="13">
        <f>V17</f>
        <v>0</v>
      </c>
    </row>
    <row r="27" spans="11:34" ht="17.5" thickBot="1">
      <c r="K27" s="10"/>
      <c r="L27" s="10"/>
      <c r="M27" s="10"/>
      <c r="N27" s="10"/>
      <c r="O27" s="10"/>
      <c r="P27" s="10"/>
      <c r="Q27" s="10">
        <f t="array" ref="Q27:U27">MMULT(K22:O22,Q22:U26)</f>
        <v>455056.06640459917</v>
      </c>
      <c r="R27" s="10">
        <v>466543.79659088555</v>
      </c>
      <c r="S27" s="10">
        <v>446998.74334026774</v>
      </c>
      <c r="T27" s="10">
        <v>428931.42296121729</v>
      </c>
      <c r="U27" s="10">
        <v>385312.85055714811</v>
      </c>
      <c r="V27" s="10">
        <f t="array" ref="V27">MMULT(Q27:U27,V22:V26)</f>
        <v>217786317051.13403</v>
      </c>
      <c r="AG27" s="16" t="s">
        <v>41</v>
      </c>
      <c r="AH27" s="17">
        <f>MAX(AH8,AH16,AH24)</f>
        <v>754589.17743184511</v>
      </c>
    </row>
    <row r="28" spans="11:34"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2">
        <f>SQRT(V27)</f>
        <v>466675.81579843414</v>
      </c>
    </row>
    <row r="31" spans="11:34">
      <c r="T31" s="33"/>
      <c r="U31" s="34"/>
      <c r="V31" s="35"/>
    </row>
    <row r="33" spans="11:21">
      <c r="K33" s="10"/>
      <c r="L33" s="10"/>
      <c r="M33" s="10"/>
      <c r="N33" s="10"/>
      <c r="O33" s="10"/>
      <c r="P33" s="10"/>
    </row>
    <row r="34" spans="11:21"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T48"/>
  <sheetViews>
    <sheetView topLeftCell="E37" workbookViewId="0">
      <selection activeCell="P10" sqref="P10"/>
    </sheetView>
  </sheetViews>
  <sheetFormatPr defaultRowHeight="17"/>
  <cols>
    <col min="2" max="2" width="10.453125" customWidth="1"/>
    <col min="4" max="4" width="19.36328125" customWidth="1"/>
    <col min="6" max="6" width="14.453125" customWidth="1"/>
    <col min="8" max="8" width="14.08984375" customWidth="1"/>
    <col min="11" max="11" width="17.54296875" customWidth="1"/>
    <col min="12" max="12" width="19" customWidth="1"/>
    <col min="13" max="13" width="14.54296875" customWidth="1"/>
    <col min="14" max="14" width="18.54296875" customWidth="1"/>
    <col min="15" max="15" width="17.453125" customWidth="1"/>
    <col min="16" max="16" width="21.1796875" customWidth="1"/>
    <col min="17" max="17" width="19.26953125" customWidth="1"/>
    <col min="18" max="18" width="14.453125" customWidth="1"/>
    <col min="19" max="19" width="14.6328125" customWidth="1"/>
    <col min="20" max="20" width="13.08984375" customWidth="1"/>
  </cols>
  <sheetData>
    <row r="1" spans="2:20">
      <c r="B1" s="2" t="s">
        <v>8</v>
      </c>
      <c r="C1" s="11"/>
      <c r="D1" s="2" t="s">
        <v>0</v>
      </c>
      <c r="E1" s="2"/>
      <c r="F1" s="2" t="s">
        <v>1</v>
      </c>
      <c r="G1" s="3"/>
      <c r="H1" s="2" t="s">
        <v>2</v>
      </c>
    </row>
    <row r="2" spans="2:20">
      <c r="B2" s="4" t="s">
        <v>3</v>
      </c>
      <c r="C2" s="1"/>
      <c r="D2" s="7">
        <v>27842940.27834126</v>
      </c>
      <c r="E2" s="8"/>
      <c r="F2" s="7">
        <v>-1.1175870895385741E-8</v>
      </c>
      <c r="G2" s="7"/>
      <c r="H2" s="7">
        <v>7.4505805969238256E-9</v>
      </c>
      <c r="J2" s="10"/>
      <c r="K2" s="19" t="s">
        <v>42</v>
      </c>
      <c r="L2" s="19" t="s">
        <v>43</v>
      </c>
      <c r="M2" s="19" t="s">
        <v>12</v>
      </c>
      <c r="N2" s="19" t="s">
        <v>44</v>
      </c>
      <c r="O2" s="19" t="s">
        <v>16</v>
      </c>
      <c r="P2" s="19" t="s">
        <v>45</v>
      </c>
      <c r="Q2" s="19" t="s">
        <v>46</v>
      </c>
      <c r="R2" s="19" t="s">
        <v>47</v>
      </c>
      <c r="S2" s="19" t="s">
        <v>48</v>
      </c>
      <c r="T2" s="27"/>
    </row>
    <row r="3" spans="2:20">
      <c r="B3" s="10" t="s">
        <v>4</v>
      </c>
      <c r="D3" s="8">
        <v>27842940.27834126</v>
      </c>
      <c r="E3" s="7"/>
      <c r="F3" s="8">
        <v>-1.1175870895385741E-8</v>
      </c>
      <c r="G3" s="7"/>
      <c r="H3" s="8">
        <v>7.4505805969238265E-9</v>
      </c>
      <c r="I3" s="6"/>
      <c r="J3" s="5" t="s">
        <v>13</v>
      </c>
      <c r="K3" s="9">
        <f>F7</f>
        <v>-1790051.3284759924</v>
      </c>
      <c r="L3" s="9">
        <f>H7</f>
        <v>-1405626.4300288078</v>
      </c>
      <c r="M3" s="12">
        <f>0.15/SQRT(2)</f>
        <v>0.10606601717798211</v>
      </c>
      <c r="N3" s="26">
        <f>D7</f>
        <v>25088436.611775775</v>
      </c>
      <c r="O3" s="9">
        <f>M3*N3</f>
        <v>2661030.5486333244</v>
      </c>
      <c r="P3" s="9">
        <f>SQRT(MAX(0, MAX(K3, 0)^2))</f>
        <v>0</v>
      </c>
      <c r="Q3" s="9">
        <f>SQRT(MAX(0, MAX(L3, 0)^2))</f>
        <v>0</v>
      </c>
      <c r="R3" s="9">
        <f>MAX(P3,Q3)</f>
        <v>0</v>
      </c>
      <c r="S3" s="9">
        <f>IF(P3&gt;Q3, K3,L3)</f>
        <v>-1405626.4300288078</v>
      </c>
    </row>
    <row r="4" spans="2:20">
      <c r="B4" s="10" t="s">
        <v>6</v>
      </c>
      <c r="D4" s="7">
        <v>-16654845.075103201</v>
      </c>
      <c r="E4" s="7"/>
      <c r="F4" s="7">
        <v>-1790051.328476026</v>
      </c>
      <c r="G4" s="7"/>
      <c r="H4" s="7">
        <v>-1405626.430028752</v>
      </c>
      <c r="J4" s="10" t="s">
        <v>9</v>
      </c>
      <c r="K4" s="9">
        <f>F11</f>
        <v>-447512.83211899811</v>
      </c>
      <c r="L4" s="9">
        <f>H11</f>
        <v>-351406.60750720196</v>
      </c>
      <c r="M4" s="12">
        <f t="shared" ref="M4:M5" si="0">0.15/SQRT(2)</f>
        <v>0.10606601717798211</v>
      </c>
      <c r="N4" s="26">
        <f>D11</f>
        <v>6272109.1529439436</v>
      </c>
      <c r="O4" s="9">
        <f t="shared" ref="O4:O5" si="1">M4*N4</f>
        <v>665257.63715833111</v>
      </c>
      <c r="P4" s="9">
        <f t="shared" ref="P4:P5" si="2">SQRT(MAX(0, MAX(K4, 0)^2))</f>
        <v>0</v>
      </c>
      <c r="Q4" s="9">
        <f t="shared" ref="Q4:Q5" si="3">SQRT(MAX(0, MAX(L4, 0)^2))</f>
        <v>0</v>
      </c>
      <c r="R4" s="9">
        <f t="shared" ref="R4:R5" si="4">MAX(P4,Q4)</f>
        <v>0</v>
      </c>
      <c r="S4" s="9">
        <f t="shared" ref="S4:S5" si="5">IF(P4&gt;Q4, K4,L4)</f>
        <v>-351406.60750720196</v>
      </c>
    </row>
    <row r="5" spans="2:20">
      <c r="B5" s="10" t="s">
        <v>5</v>
      </c>
      <c r="D5" s="9">
        <v>-13942598.869803544</v>
      </c>
      <c r="E5" s="9"/>
      <c r="F5" s="9">
        <v>5.5879354476928711E-8</v>
      </c>
      <c r="G5" s="9"/>
      <c r="H5" s="9">
        <v>-7.0780515670776367E-8</v>
      </c>
      <c r="J5" s="10" t="s">
        <v>15</v>
      </c>
      <c r="K5" s="9">
        <f>F14</f>
        <v>895025.66423799621</v>
      </c>
      <c r="L5" s="9">
        <f>H14</f>
        <v>702813.21501440392</v>
      </c>
      <c r="M5" s="12">
        <f t="shared" si="0"/>
        <v>0.10606601717798211</v>
      </c>
      <c r="N5" s="26">
        <f>D14</f>
        <v>-12544218.305887887</v>
      </c>
      <c r="O5" s="9">
        <f t="shared" si="1"/>
        <v>-1330515.2743166622</v>
      </c>
      <c r="P5" s="9">
        <f t="shared" si="2"/>
        <v>895025.66423799621</v>
      </c>
      <c r="Q5" s="9">
        <f t="shared" si="3"/>
        <v>702813.21501440392</v>
      </c>
      <c r="R5" s="9">
        <f t="shared" si="4"/>
        <v>895025.66423799621</v>
      </c>
      <c r="S5" s="9">
        <f t="shared" si="5"/>
        <v>895025.66423799621</v>
      </c>
    </row>
    <row r="6" spans="2:20">
      <c r="B6" s="10"/>
    </row>
    <row r="7" spans="2:20">
      <c r="B7" s="10" t="s">
        <v>7</v>
      </c>
      <c r="D7" s="9">
        <f>SUM(D2:D5)</f>
        <v>25088436.611775775</v>
      </c>
      <c r="E7" s="10"/>
      <c r="F7" s="9">
        <f>SUM(F2:F5)</f>
        <v>-1790051.3284759924</v>
      </c>
      <c r="G7" s="10"/>
      <c r="H7" s="9">
        <f>SUM(H2:H5)</f>
        <v>-1405626.4300288078</v>
      </c>
    </row>
    <row r="9" spans="2:20" ht="17.5" thickBot="1"/>
    <row r="10" spans="2:20" ht="17.5" thickBot="1">
      <c r="B10" s="2" t="s">
        <v>9</v>
      </c>
      <c r="C10" s="11"/>
      <c r="D10" s="2" t="s">
        <v>0</v>
      </c>
      <c r="E10" s="2"/>
      <c r="F10" s="2" t="s">
        <v>1</v>
      </c>
      <c r="G10" s="3"/>
      <c r="H10" s="2" t="s">
        <v>2</v>
      </c>
      <c r="K10" s="16" t="s">
        <v>56</v>
      </c>
      <c r="L10" s="31">
        <f>R3^2+R4^2+R5^2</f>
        <v>801070939644.66638</v>
      </c>
      <c r="M10" s="10"/>
      <c r="N10" s="10"/>
      <c r="O10" s="10"/>
      <c r="P10" s="10"/>
      <c r="Q10" s="10"/>
    </row>
    <row r="11" spans="2:20">
      <c r="D11" s="9">
        <f>D7*0.25</f>
        <v>6272109.1529439436</v>
      </c>
      <c r="E11" s="9"/>
      <c r="F11" s="9">
        <f>F7*0.25</f>
        <v>-447512.83211899811</v>
      </c>
      <c r="G11" s="9"/>
      <c r="H11" s="9">
        <f>H7*0.25</f>
        <v>-351406.60750720196</v>
      </c>
      <c r="K11" s="10"/>
      <c r="L11" s="10"/>
      <c r="M11" s="10"/>
      <c r="N11" s="10"/>
      <c r="O11" s="10"/>
      <c r="P11" s="10"/>
      <c r="Q11" s="10"/>
    </row>
    <row r="12" spans="2:20">
      <c r="K12" s="10"/>
      <c r="L12" s="10"/>
      <c r="M12" s="10"/>
      <c r="N12" s="10" t="s">
        <v>50</v>
      </c>
      <c r="O12" s="10"/>
      <c r="P12" s="10"/>
      <c r="Q12" s="10"/>
    </row>
    <row r="13" spans="2:20">
      <c r="B13" s="2" t="s">
        <v>10</v>
      </c>
      <c r="C13" s="11"/>
      <c r="D13" s="2" t="s">
        <v>0</v>
      </c>
      <c r="E13" s="2"/>
      <c r="F13" s="2" t="s">
        <v>1</v>
      </c>
      <c r="G13" s="3"/>
      <c r="H13" s="2" t="s">
        <v>2</v>
      </c>
      <c r="K13" s="13">
        <f>S3</f>
        <v>-1405626.4300288078</v>
      </c>
      <c r="L13" s="13">
        <f>S4</f>
        <v>-351406.60750720196</v>
      </c>
      <c r="M13" s="13">
        <f>S5</f>
        <v>895025.66423799621</v>
      </c>
      <c r="N13" s="14">
        <f>Signed(K13,Q13)</f>
        <v>0</v>
      </c>
      <c r="O13" s="14">
        <f>Signed(L13,Q14)</f>
        <v>0</v>
      </c>
      <c r="P13" s="14">
        <f>Signed(M13,Q15)</f>
        <v>1</v>
      </c>
      <c r="Q13" s="13">
        <f>K13</f>
        <v>-1405626.4300288078</v>
      </c>
    </row>
    <row r="14" spans="2:20">
      <c r="D14" s="9">
        <f>D7*-0.5</f>
        <v>-12544218.305887887</v>
      </c>
      <c r="E14" s="9"/>
      <c r="F14" s="9">
        <f>F7*-0.5</f>
        <v>895025.66423799621</v>
      </c>
      <c r="G14" s="9"/>
      <c r="H14" s="9">
        <f>H7*-0.5</f>
        <v>702813.21501440392</v>
      </c>
      <c r="K14" s="10"/>
      <c r="L14" s="10"/>
      <c r="M14" s="10"/>
      <c r="N14" s="14">
        <f>Signed(L13,Q13)</f>
        <v>0</v>
      </c>
      <c r="O14" s="14">
        <f>Signed(L13,Q14)</f>
        <v>0</v>
      </c>
      <c r="P14" s="14">
        <f>Signed(L13,Q15)</f>
        <v>1</v>
      </c>
      <c r="Q14" s="13">
        <f>L13</f>
        <v>-351406.60750720196</v>
      </c>
    </row>
    <row r="15" spans="2:20">
      <c r="K15" s="10"/>
      <c r="L15" s="10"/>
      <c r="M15" s="10"/>
      <c r="N15" s="14">
        <f>Signed(M13,Q13)</f>
        <v>1</v>
      </c>
      <c r="O15" s="14">
        <f>Signed(M13,Q14)</f>
        <v>1</v>
      </c>
      <c r="P15" s="14">
        <f>Signed(M13,Q15)</f>
        <v>1</v>
      </c>
      <c r="Q15" s="13">
        <f>M13</f>
        <v>895025.66423799621</v>
      </c>
    </row>
    <row r="16" spans="2:20">
      <c r="K16" s="10"/>
      <c r="L16" s="10"/>
      <c r="M16" s="10"/>
      <c r="N16" s="10"/>
      <c r="O16" s="10"/>
      <c r="P16" s="10"/>
      <c r="Q16" s="10"/>
    </row>
    <row r="17" spans="11:17">
      <c r="K17" s="10"/>
      <c r="L17" s="10"/>
      <c r="M17" s="10"/>
      <c r="N17" s="10"/>
      <c r="O17" s="10"/>
      <c r="P17" s="10"/>
      <c r="Q17" s="10"/>
    </row>
    <row r="18" spans="11:17">
      <c r="K18" s="10"/>
      <c r="L18" s="10"/>
      <c r="M18" s="10"/>
      <c r="N18" s="10" t="s">
        <v>49</v>
      </c>
      <c r="O18" s="10">
        <v>0.6</v>
      </c>
      <c r="P18" s="10"/>
      <c r="Q18" s="10"/>
    </row>
    <row r="19" spans="11:17">
      <c r="K19" s="9"/>
      <c r="L19" s="9"/>
      <c r="M19" s="9"/>
      <c r="N19" s="14">
        <v>0</v>
      </c>
      <c r="O19" s="14">
        <f>N20</f>
        <v>0.36</v>
      </c>
      <c r="P19" s="14">
        <f>O19</f>
        <v>0.36</v>
      </c>
      <c r="Q19" s="10"/>
    </row>
    <row r="20" spans="11:17">
      <c r="K20" s="10"/>
      <c r="L20" s="10"/>
      <c r="M20" s="10"/>
      <c r="N20" s="14">
        <f>O18^2</f>
        <v>0.36</v>
      </c>
      <c r="O20" s="14">
        <v>0</v>
      </c>
      <c r="P20" s="14">
        <f>O19</f>
        <v>0.36</v>
      </c>
      <c r="Q20" s="10"/>
    </row>
    <row r="21" spans="11:17">
      <c r="K21" s="10"/>
      <c r="L21" s="10"/>
      <c r="M21" s="10"/>
      <c r="N21" s="14">
        <f>N20</f>
        <v>0.36</v>
      </c>
      <c r="O21" s="14">
        <f>N21</f>
        <v>0.36</v>
      </c>
      <c r="P21" s="14">
        <v>0</v>
      </c>
      <c r="Q21" s="10"/>
    </row>
    <row r="22" spans="11:17">
      <c r="K22" s="10"/>
      <c r="L22" s="10"/>
      <c r="M22" s="10"/>
      <c r="N22" s="10"/>
      <c r="O22" s="10"/>
      <c r="P22" s="10"/>
      <c r="Q22" s="10"/>
    </row>
    <row r="23" spans="11:17">
      <c r="K23" s="10" t="s">
        <v>52</v>
      </c>
      <c r="L23" s="28">
        <v>1</v>
      </c>
      <c r="M23" s="10"/>
      <c r="N23" s="10"/>
      <c r="O23" s="10"/>
      <c r="P23" s="10"/>
      <c r="Q23" s="10"/>
    </row>
    <row r="24" spans="11:17">
      <c r="K24" s="13">
        <f>K13</f>
        <v>-1405626.4300288078</v>
      </c>
      <c r="L24" s="13">
        <f t="shared" ref="L24:M24" si="6">L13</f>
        <v>-351406.60750720196</v>
      </c>
      <c r="M24" s="13">
        <f t="shared" si="6"/>
        <v>895025.66423799621</v>
      </c>
      <c r="N24" s="14">
        <f>N13*N19*$L$23</f>
        <v>0</v>
      </c>
      <c r="O24" s="14">
        <f t="shared" ref="O24:P24" si="7">O13*O19*$L$23</f>
        <v>0</v>
      </c>
      <c r="P24" s="14">
        <f t="shared" si="7"/>
        <v>0.36</v>
      </c>
      <c r="Q24" s="13">
        <f>Q13</f>
        <v>-1405626.4300288078</v>
      </c>
    </row>
    <row r="25" spans="11:17">
      <c r="K25" s="10"/>
      <c r="L25" s="10"/>
      <c r="M25" s="10"/>
      <c r="N25" s="14">
        <f t="shared" ref="N25:P25" si="8">N14*N20*$L$23</f>
        <v>0</v>
      </c>
      <c r="O25" s="14">
        <f t="shared" si="8"/>
        <v>0</v>
      </c>
      <c r="P25" s="14">
        <f t="shared" si="8"/>
        <v>0.36</v>
      </c>
      <c r="Q25" s="13">
        <f t="shared" ref="Q25:Q26" si="9">Q14</f>
        <v>-351406.60750720196</v>
      </c>
    </row>
    <row r="26" spans="11:17">
      <c r="K26" s="10"/>
      <c r="L26" s="10"/>
      <c r="M26" s="10"/>
      <c r="N26" s="14">
        <f t="shared" ref="N26:P26" si="10">N15*N21*$L$23</f>
        <v>0.36</v>
      </c>
      <c r="O26" s="14">
        <f t="shared" si="10"/>
        <v>0.36</v>
      </c>
      <c r="P26" s="14">
        <f t="shared" si="10"/>
        <v>0</v>
      </c>
      <c r="Q26" s="13">
        <f t="shared" si="9"/>
        <v>895025.66423799621</v>
      </c>
    </row>
    <row r="27" spans="11:17">
      <c r="K27" s="10"/>
      <c r="L27" s="10"/>
      <c r="M27" s="10"/>
      <c r="N27" s="10">
        <f t="array" ref="N27:P27">MMULT(K24:M24,N24:P26)</f>
        <v>322209.23912567861</v>
      </c>
      <c r="O27" s="10">
        <v>322209.23912567861</v>
      </c>
      <c r="P27" s="10">
        <v>-632531.89351296355</v>
      </c>
      <c r="Q27" s="29">
        <f t="array" ref="Q27">MMULT(N27:P27,Q24:Q26)</f>
        <v>-1132264556286.3154</v>
      </c>
    </row>
    <row r="28" spans="11:17">
      <c r="K28" s="10"/>
      <c r="L28" s="10"/>
      <c r="M28" s="10"/>
      <c r="N28" s="10"/>
      <c r="O28" s="10"/>
      <c r="P28" s="10" t="s">
        <v>51</v>
      </c>
      <c r="Q28" s="29">
        <f>L10</f>
        <v>801070939644.66638</v>
      </c>
    </row>
    <row r="29" spans="11:17">
      <c r="K29" s="10"/>
      <c r="L29" s="10"/>
      <c r="M29" s="10"/>
      <c r="N29" s="10"/>
      <c r="O29" s="10"/>
      <c r="P29" s="10"/>
      <c r="Q29" s="30">
        <f>SQRT(MAX(0,Q28+Q27))</f>
        <v>0</v>
      </c>
    </row>
    <row r="30" spans="11:17">
      <c r="K30" s="10"/>
      <c r="L30" s="10"/>
      <c r="M30" s="10"/>
      <c r="N30" s="10"/>
      <c r="O30" s="10"/>
      <c r="P30" s="10"/>
      <c r="Q30" s="10"/>
    </row>
    <row r="31" spans="11:17">
      <c r="K31" s="10" t="s">
        <v>53</v>
      </c>
      <c r="L31" s="15">
        <v>1.25</v>
      </c>
      <c r="M31" s="10"/>
      <c r="N31" s="10"/>
      <c r="O31" s="10"/>
      <c r="P31" s="10"/>
      <c r="Q31" s="10"/>
    </row>
    <row r="32" spans="11:17">
      <c r="K32" s="13">
        <f>K24</f>
        <v>-1405626.4300288078</v>
      </c>
      <c r="L32" s="13">
        <f t="shared" ref="L32:M32" si="11">L24</f>
        <v>-351406.60750720196</v>
      </c>
      <c r="M32" s="13">
        <f t="shared" si="11"/>
        <v>895025.66423799621</v>
      </c>
      <c r="N32" s="14">
        <f>N13*N19*$L$31</f>
        <v>0</v>
      </c>
      <c r="O32" s="14">
        <f t="shared" ref="O32:P32" si="12">O13*O19*$L$31</f>
        <v>0</v>
      </c>
      <c r="P32" s="14">
        <f t="shared" si="12"/>
        <v>0.44999999999999996</v>
      </c>
      <c r="Q32" s="13">
        <f>Q24</f>
        <v>-1405626.4300288078</v>
      </c>
    </row>
    <row r="33" spans="11:17">
      <c r="K33" s="10"/>
      <c r="L33" s="10"/>
      <c r="M33" s="10"/>
      <c r="N33" s="14">
        <f t="shared" ref="N33:P33" si="13">N14*N20*$L$31</f>
        <v>0</v>
      </c>
      <c r="O33" s="14">
        <f t="shared" si="13"/>
        <v>0</v>
      </c>
      <c r="P33" s="14">
        <f t="shared" si="13"/>
        <v>0.44999999999999996</v>
      </c>
      <c r="Q33" s="13">
        <f t="shared" ref="Q33:Q34" si="14">Q25</f>
        <v>-351406.60750720196</v>
      </c>
    </row>
    <row r="34" spans="11:17">
      <c r="K34" s="10"/>
      <c r="L34" s="10"/>
      <c r="M34" s="10"/>
      <c r="N34" s="14">
        <f t="shared" ref="N34:P34" si="15">N15*N21*$L$31</f>
        <v>0.44999999999999996</v>
      </c>
      <c r="O34" s="14">
        <f t="shared" si="15"/>
        <v>0.44999999999999996</v>
      </c>
      <c r="P34" s="14">
        <f t="shared" si="15"/>
        <v>0</v>
      </c>
      <c r="Q34" s="13">
        <f t="shared" si="14"/>
        <v>895025.66423799621</v>
      </c>
    </row>
    <row r="35" spans="11:17">
      <c r="K35" s="10"/>
      <c r="L35" s="10"/>
      <c r="M35" s="10"/>
      <c r="N35" s="10">
        <f t="array" ref="N35:P35">MMULT(K32:M32,N32:P34)</f>
        <v>402761.54890709824</v>
      </c>
      <c r="O35" s="10">
        <v>402761.54890709824</v>
      </c>
      <c r="P35" s="10">
        <v>-790664.86689120426</v>
      </c>
      <c r="Q35" s="29">
        <f t="array" ref="Q35">MMULT(N35:P35,Q32:Q34)</f>
        <v>-1415330695357.894</v>
      </c>
    </row>
    <row r="36" spans="11:17">
      <c r="K36" s="10"/>
      <c r="L36" s="10"/>
      <c r="M36" s="10"/>
      <c r="N36" s="10"/>
      <c r="O36" s="10"/>
      <c r="P36" s="10" t="s">
        <v>51</v>
      </c>
      <c r="Q36" s="29">
        <f>L10</f>
        <v>801070939644.66638</v>
      </c>
    </row>
    <row r="37" spans="11:17">
      <c r="K37" s="10"/>
      <c r="L37" s="10"/>
      <c r="M37" s="10"/>
      <c r="N37" s="10"/>
      <c r="O37" s="10"/>
      <c r="P37" s="10"/>
      <c r="Q37" s="30">
        <f>SQRT(MAX(0,Q36+Q35))</f>
        <v>0</v>
      </c>
    </row>
    <row r="38" spans="11:17">
      <c r="K38" s="10"/>
      <c r="L38" s="10"/>
      <c r="M38" s="10"/>
      <c r="N38" s="10"/>
      <c r="O38" s="10"/>
      <c r="P38" s="10"/>
      <c r="Q38" s="10"/>
    </row>
    <row r="39" spans="11:17">
      <c r="K39" s="10" t="s">
        <v>54</v>
      </c>
      <c r="L39" s="15">
        <v>0.75</v>
      </c>
      <c r="M39" s="10"/>
      <c r="N39" s="10"/>
      <c r="O39" s="10"/>
      <c r="P39" s="10"/>
      <c r="Q39" s="10"/>
    </row>
    <row r="40" spans="11:17">
      <c r="K40" s="13">
        <f>K24</f>
        <v>-1405626.4300288078</v>
      </c>
      <c r="L40" s="13">
        <f t="shared" ref="L40:M40" si="16">L24</f>
        <v>-351406.60750720196</v>
      </c>
      <c r="M40" s="13">
        <f t="shared" si="16"/>
        <v>895025.66423799621</v>
      </c>
      <c r="N40" s="14">
        <f>N13*N19*$L$39</f>
        <v>0</v>
      </c>
      <c r="O40" s="14">
        <f t="shared" ref="O40:P40" si="17">O13*O19*$L$39</f>
        <v>0</v>
      </c>
      <c r="P40" s="14">
        <f t="shared" si="17"/>
        <v>0.27</v>
      </c>
      <c r="Q40" s="13">
        <f>Q32</f>
        <v>-1405626.4300288078</v>
      </c>
    </row>
    <row r="41" spans="11:17">
      <c r="K41" s="10"/>
      <c r="L41" s="10"/>
      <c r="M41" s="10"/>
      <c r="N41" s="14">
        <f t="shared" ref="N41:P41" si="18">N14*N20*$L$39</f>
        <v>0</v>
      </c>
      <c r="O41" s="14">
        <f t="shared" si="18"/>
        <v>0</v>
      </c>
      <c r="P41" s="14">
        <f t="shared" si="18"/>
        <v>0.27</v>
      </c>
      <c r="Q41" s="13">
        <f t="shared" ref="Q41:Q42" si="19">Q33</f>
        <v>-351406.60750720196</v>
      </c>
    </row>
    <row r="42" spans="11:17">
      <c r="K42" s="10"/>
      <c r="L42" s="10"/>
      <c r="M42" s="10"/>
      <c r="N42" s="14">
        <f t="shared" ref="N42:P42" si="20">N15*N21*$L$39</f>
        <v>0.27</v>
      </c>
      <c r="O42" s="14">
        <f t="shared" si="20"/>
        <v>0.27</v>
      </c>
      <c r="P42" s="14">
        <f t="shared" si="20"/>
        <v>0</v>
      </c>
      <c r="Q42" s="13">
        <f t="shared" si="19"/>
        <v>895025.66423799621</v>
      </c>
    </row>
    <row r="43" spans="11:17">
      <c r="K43" s="10"/>
      <c r="L43" s="10"/>
      <c r="M43" s="10"/>
      <c r="N43" s="10">
        <f t="array" ref="N43:P43">MMULT(K40:M40,N40:P42)</f>
        <v>241656.929344259</v>
      </c>
      <c r="O43" s="10">
        <v>241656.929344259</v>
      </c>
      <c r="P43" s="10">
        <v>-474398.92013472266</v>
      </c>
      <c r="Q43" s="29">
        <f t="array" ref="Q43">MMULT(N43:P43,Q40:Q42)</f>
        <v>-849198417214.73657</v>
      </c>
    </row>
    <row r="44" spans="11:17">
      <c r="K44" s="10"/>
      <c r="L44" s="10"/>
      <c r="M44" s="10"/>
      <c r="N44" s="10"/>
      <c r="O44" s="10"/>
      <c r="P44" s="10" t="s">
        <v>51</v>
      </c>
      <c r="Q44" s="29">
        <f>L10</f>
        <v>801070939644.66638</v>
      </c>
    </row>
    <row r="45" spans="11:17">
      <c r="K45" s="10"/>
      <c r="L45" s="10"/>
      <c r="M45" s="10"/>
      <c r="N45" s="10"/>
      <c r="O45" s="10"/>
      <c r="P45" s="10"/>
      <c r="Q45" s="30">
        <f>SQRT(MAX(0,Q44+Q43))</f>
        <v>0</v>
      </c>
    </row>
    <row r="47" spans="11:17" ht="17.5" thickBot="1"/>
    <row r="48" spans="11:17" ht="17.5" thickBot="1">
      <c r="P48" s="16" t="s">
        <v>55</v>
      </c>
      <c r="Q48" s="17">
        <f>MAX(Q29,Q37,Q45)</f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2</vt:i4>
      </vt:variant>
    </vt:vector>
  </HeadingPairs>
  <TitlesOfParts>
    <vt:vector size="5" baseType="lpstr">
      <vt:lpstr>Delta</vt:lpstr>
      <vt:lpstr>Vega</vt:lpstr>
      <vt:lpstr>Curvature</vt:lpstr>
      <vt:lpstr>H_rho</vt:lpstr>
      <vt:lpstr>N_rho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dong</dc:creator>
  <cp:lastModifiedBy>andy dong</cp:lastModifiedBy>
  <dcterms:created xsi:type="dcterms:W3CDTF">2022-09-26T07:02:42Z</dcterms:created>
  <dcterms:modified xsi:type="dcterms:W3CDTF">2022-09-28T06:41:50Z</dcterms:modified>
</cp:coreProperties>
</file>